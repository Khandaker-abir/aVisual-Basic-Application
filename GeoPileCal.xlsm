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inal thesis submission\"/>
    </mc:Choice>
  </mc:AlternateContent>
  <xr:revisionPtr revIDLastSave="0" documentId="13_ncr:1_{42F47FE6-35FE-4273-8CE5-5B9EDD3BAC56}" xr6:coauthVersionLast="47" xr6:coauthVersionMax="47" xr10:uidLastSave="{00000000-0000-0000-0000-000000000000}"/>
  <bookViews>
    <workbookView xWindow="-108" yWindow="-108" windowWidth="23256" windowHeight="12456" xr2:uid="{238F742A-BD72-4960-82E5-D9D7459AE39D}"/>
  </bookViews>
  <sheets>
    <sheet name="Sheet1" sheetId="1" r:id="rId1"/>
    <sheet name="Sheet3" sheetId="3" r:id="rId2"/>
    <sheet name="Sheet4" sheetId="4" r:id="rId3"/>
    <sheet name="Sheet2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3" i="1" l="1"/>
  <c r="J21" i="1"/>
  <c r="J20" i="1"/>
  <c r="J18" i="1"/>
  <c r="J19" i="1" s="1"/>
  <c r="J17" i="1"/>
  <c r="J16" i="1"/>
  <c r="J15" i="1"/>
  <c r="J14" i="1"/>
  <c r="J13" i="1"/>
  <c r="J12" i="1"/>
  <c r="J10" i="1"/>
  <c r="J9" i="1"/>
  <c r="J7" i="1"/>
  <c r="J6" i="1"/>
  <c r="J8" i="1"/>
  <c r="J11" i="1"/>
  <c r="J22" i="1"/>
  <c r="J5" i="1"/>
  <c r="B4" i="4"/>
  <c r="F3" i="1"/>
  <c r="C15" i="4"/>
  <c r="A5" i="4" s="1"/>
  <c r="B8" i="4"/>
  <c r="B12" i="4"/>
  <c r="D8" i="1" s="1"/>
  <c r="B9" i="4"/>
  <c r="A22" i="4" s="1"/>
  <c r="A28" i="4"/>
  <c r="B3" i="4"/>
  <c r="D2" i="3" s="1"/>
  <c r="E2" i="1"/>
  <c r="G3" i="1"/>
  <c r="X50" i="4"/>
  <c r="X51" i="4"/>
  <c r="X52" i="4"/>
  <c r="X53" i="4"/>
  <c r="X54" i="4"/>
  <c r="X55" i="4"/>
  <c r="X49" i="4"/>
  <c r="X42" i="4"/>
  <c r="X43" i="4"/>
  <c r="X44" i="4"/>
  <c r="X45" i="4"/>
  <c r="X46" i="4"/>
  <c r="X41" i="4"/>
  <c r="X32" i="4"/>
  <c r="X33" i="4"/>
  <c r="X34" i="4"/>
  <c r="X35" i="4"/>
  <c r="X31" i="4"/>
  <c r="X21" i="4"/>
  <c r="X22" i="4"/>
  <c r="X23" i="4"/>
  <c r="X24" i="4"/>
  <c r="X25" i="4"/>
  <c r="X26" i="4"/>
  <c r="X27" i="4"/>
  <c r="X28" i="4"/>
  <c r="X20" i="4"/>
  <c r="X12" i="4"/>
  <c r="X13" i="4"/>
  <c r="X14" i="4"/>
  <c r="X15" i="4"/>
  <c r="X16" i="4"/>
  <c r="X11" i="4"/>
  <c r="Y6" i="4"/>
  <c r="Y7" i="4"/>
  <c r="Y8" i="4"/>
  <c r="Y5" i="4"/>
  <c r="X6" i="4"/>
  <c r="X7" i="4"/>
  <c r="X8" i="4"/>
  <c r="X5" i="4"/>
  <c r="B7" i="4"/>
  <c r="B6" i="4"/>
  <c r="B5" i="4"/>
  <c r="B2" i="4"/>
  <c r="G2" i="3" s="1"/>
  <c r="B1" i="4"/>
  <c r="B9" i="1"/>
  <c r="I25" i="4"/>
  <c r="I26" i="4"/>
  <c r="I27" i="4"/>
  <c r="I28" i="4"/>
  <c r="I29" i="4"/>
  <c r="G26" i="4"/>
  <c r="G27" i="4"/>
  <c r="G28" i="4"/>
  <c r="G29" i="4"/>
  <c r="G25" i="4"/>
  <c r="H30" i="4"/>
  <c r="H31" i="4"/>
  <c r="H32" i="4"/>
  <c r="H29" i="4"/>
  <c r="J5" i="4"/>
  <c r="J6" i="4"/>
  <c r="J7" i="4"/>
  <c r="J4" i="4"/>
  <c r="J13" i="4"/>
  <c r="J9" i="4"/>
  <c r="J10" i="4"/>
  <c r="J11" i="4"/>
  <c r="J12" i="4"/>
  <c r="J8" i="4"/>
  <c r="J3" i="1" l="1"/>
  <c r="I3" i="1"/>
  <c r="G3" i="3"/>
  <c r="H3" i="3"/>
  <c r="L3" i="1"/>
  <c r="E4" i="1"/>
  <c r="A2" i="4"/>
  <c r="G1" i="3"/>
  <c r="C3" i="4"/>
</calcChain>
</file>

<file path=xl/sharedStrings.xml><?xml version="1.0" encoding="utf-8"?>
<sst xmlns="http://schemas.openxmlformats.org/spreadsheetml/2006/main" count="191" uniqueCount="103">
  <si>
    <t>circular</t>
  </si>
  <si>
    <t>SPT-N value</t>
  </si>
  <si>
    <t>depth(ft)</t>
  </si>
  <si>
    <t>soil type</t>
  </si>
  <si>
    <t>no</t>
  </si>
  <si>
    <t>x-section area(sft)</t>
  </si>
  <si>
    <t>perimeter(ft)</t>
  </si>
  <si>
    <t>N60</t>
  </si>
  <si>
    <t>manual</t>
  </si>
  <si>
    <t>automatic</t>
  </si>
  <si>
    <t>Driven Pile</t>
  </si>
  <si>
    <t>Alpha</t>
  </si>
  <si>
    <t>Su(ksf)</t>
  </si>
  <si>
    <t>sand</t>
  </si>
  <si>
    <t>Nc</t>
  </si>
  <si>
    <t>AASHTO</t>
  </si>
  <si>
    <t>BNBC</t>
  </si>
  <si>
    <t>driven pile</t>
  </si>
  <si>
    <t>Qs(kN)</t>
  </si>
  <si>
    <t>pile dia(ft)</t>
  </si>
  <si>
    <t>Type of code</t>
  </si>
  <si>
    <t>NBC</t>
  </si>
  <si>
    <t>Hammer Type</t>
  </si>
  <si>
    <t>Automatic</t>
  </si>
  <si>
    <t>Manual</t>
  </si>
  <si>
    <t>Donut</t>
  </si>
  <si>
    <t>Safety</t>
  </si>
  <si>
    <t>Drop/Pin</t>
  </si>
  <si>
    <t>none</t>
  </si>
  <si>
    <t>Hand dropped</t>
  </si>
  <si>
    <t>Cathead + 2 turns</t>
  </si>
  <si>
    <t>Standard sampler</t>
  </si>
  <si>
    <t>sampler without liner</t>
  </si>
  <si>
    <t>Type of Pile</t>
  </si>
  <si>
    <t>Drilled Shaft</t>
  </si>
  <si>
    <t>Pile Shape</t>
  </si>
  <si>
    <t>Pile Size</t>
  </si>
  <si>
    <t>clay</t>
  </si>
  <si>
    <t>alpha</t>
  </si>
  <si>
    <t>C</t>
  </si>
  <si>
    <t>S</t>
  </si>
  <si>
    <t>Hammer Mechanism</t>
  </si>
  <si>
    <t>Borehole Dia (mm)</t>
  </si>
  <si>
    <t>Sampling Method</t>
  </si>
  <si>
    <t>Rod Length (m)</t>
  </si>
  <si>
    <t>Depth(ft)</t>
  </si>
  <si>
    <t>Soil Type</t>
  </si>
  <si>
    <t>SPT N value</t>
  </si>
  <si>
    <t>Capacity (KN)</t>
  </si>
  <si>
    <t>Reduced level of orifice (ft)</t>
  </si>
  <si>
    <t>Displacement Pile</t>
  </si>
  <si>
    <t>Nondisplacement Pile</t>
  </si>
  <si>
    <t>M</t>
  </si>
  <si>
    <t>silt</t>
  </si>
  <si>
    <t>N-value</t>
  </si>
  <si>
    <t>Reduced level or depth</t>
  </si>
  <si>
    <t>reduced level</t>
  </si>
  <si>
    <t>depth</t>
  </si>
  <si>
    <t>unit weight(kcf)</t>
  </si>
  <si>
    <t>vertical stress (ksf)</t>
  </si>
  <si>
    <t>CN</t>
  </si>
  <si>
    <t>N160</t>
  </si>
  <si>
    <t>Apha</t>
  </si>
  <si>
    <t>Su(kPa)</t>
  </si>
  <si>
    <t>fs (kPa)</t>
  </si>
  <si>
    <t>fb(kPa)</t>
  </si>
  <si>
    <t>Qb(KN)</t>
  </si>
  <si>
    <t>W (KN)</t>
  </si>
  <si>
    <t>Capacity(kN)</t>
  </si>
  <si>
    <t>uplift capacity (KN)</t>
  </si>
  <si>
    <t>Bored Pile</t>
  </si>
  <si>
    <t>Drilled shaft</t>
  </si>
  <si>
    <t>su (kPa)</t>
  </si>
  <si>
    <t>Beta</t>
  </si>
  <si>
    <t>Fb (kPa)</t>
  </si>
  <si>
    <t>Qs (kN)</t>
  </si>
  <si>
    <t>Upliftcapacity (KN)</t>
  </si>
  <si>
    <t>vertical stress mid(kPa)</t>
  </si>
  <si>
    <t>Cn</t>
  </si>
  <si>
    <t>Su</t>
  </si>
  <si>
    <t>qs(ksf)</t>
  </si>
  <si>
    <t>displacemnt pile</t>
  </si>
  <si>
    <t>Non displacement</t>
  </si>
  <si>
    <t>Rs (kip)</t>
  </si>
  <si>
    <t>displacement</t>
  </si>
  <si>
    <t>Non-displacement</t>
  </si>
  <si>
    <t>qp(ksf)</t>
  </si>
  <si>
    <t>Rp(kip)</t>
  </si>
  <si>
    <t>for both displacement and non displacement pile</t>
  </si>
  <si>
    <t>displacement pile</t>
  </si>
  <si>
    <t>compression capacity (kip)</t>
  </si>
  <si>
    <t>Quplift capacity (KN)</t>
  </si>
  <si>
    <t>Non displacement pile</t>
  </si>
  <si>
    <t>uplift capacity (kip)</t>
  </si>
  <si>
    <t>phif</t>
  </si>
  <si>
    <t>preconsolidation stress(ksf)</t>
  </si>
  <si>
    <t>beta</t>
  </si>
  <si>
    <t>verticalstress (ksf)</t>
  </si>
  <si>
    <t>Rs(kip)</t>
  </si>
  <si>
    <t>Rb(kip)</t>
  </si>
  <si>
    <t>compressioncapacity (kip)</t>
  </si>
  <si>
    <t>No</t>
  </si>
  <si>
    <t>uplift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</si>
</sst>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indexed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6" borderId="0" xfId="0" applyFill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164" fontId="0" fillId="0" borderId="0" xfId="0" applyNumberFormat="1"/>
    <xf numFmtId="0" fontId="0" fillId="2" borderId="2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1" fillId="0" borderId="0" xfId="0" applyFont="1"/>
    <xf numFmtId="0" fontId="0" fillId="3" borderId="1" xfId="0" applyFill="1" applyBorder="1"/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" xfId="0" applyBorder="1"/>
    <xf numFmtId="0" fontId="1" fillId="7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/>
    </xf>
    <xf numFmtId="0" fontId="0" fillId="4" borderId="0" xfId="0" applyFill="1"/>
    <xf numFmtId="0" fontId="0" fillId="8" borderId="2" xfId="0" applyFill="1" applyBorder="1"/>
    <xf numFmtId="2" fontId="0" fillId="0" borderId="1" xfId="0" applyNumberFormat="1" applyBorder="1"/>
    <xf numFmtId="1" fontId="8" fillId="0" borderId="1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0" fillId="8" borderId="3" xfId="0" applyFill="1" applyBorder="1"/>
    <xf numFmtId="0" fontId="2" fillId="11" borderId="1" xfId="0" applyFont="1" applyFill="1" applyBorder="1"/>
    <xf numFmtId="0" fontId="0" fillId="3" borderId="1" xfId="0" applyFill="1" applyBorder="1" applyAlignment="1">
      <alignment wrapText="1"/>
    </xf>
    <xf numFmtId="0" fontId="0" fillId="13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9" borderId="3" xfId="0" applyFont="1" applyFill="1" applyBorder="1" applyAlignment="1">
      <alignment wrapText="1"/>
    </xf>
    <xf numFmtId="0" fontId="1" fillId="9" borderId="2" xfId="0" applyFont="1" applyFill="1" applyBorder="1" applyAlignment="1">
      <alignment wrapText="1"/>
    </xf>
    <xf numFmtId="0" fontId="7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9" fillId="0" borderId="1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7" fillId="10" borderId="1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7" fillId="10" borderId="13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0" fontId="7" fillId="14" borderId="12" xfId="0" applyFont="1" applyFill="1" applyBorder="1" applyAlignment="1">
      <alignment horizontal="center" vertical="center"/>
    </xf>
    <xf numFmtId="0" fontId="7" fillId="14" borderId="11" xfId="0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7" fillId="15" borderId="7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Sheet4!$H$4:$H$7</c:f>
              <c:numCache>
                <c:formatCode>General</c:formatCode>
                <c:ptCount val="4"/>
                <c:pt idx="0">
                  <c:v>0</c:v>
                </c:pt>
                <c:pt idx="1">
                  <c:v>12.5</c:v>
                </c:pt>
                <c:pt idx="2">
                  <c:v>25</c:v>
                </c:pt>
                <c:pt idx="3">
                  <c:v>37.5</c:v>
                </c:pt>
              </c:numCache>
            </c:numRef>
          </c:xVal>
          <c:yVal>
            <c:numRef>
              <c:f>Sheet4!$I$4:$I$7</c:f>
              <c:numCache>
                <c:formatCode>General</c:formatCode>
                <c:ptCount val="4"/>
                <c:pt idx="0">
                  <c:v>0</c:v>
                </c:pt>
                <c:pt idx="1">
                  <c:v>11</c:v>
                </c:pt>
                <c:pt idx="2">
                  <c:v>22</c:v>
                </c:pt>
                <c:pt idx="3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2-491C-A747-738B9ADD3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9505056"/>
        <c:axId val="649500736"/>
      </c:scatterChart>
      <c:valAx>
        <c:axId val="64950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00736"/>
        <c:crosses val="autoZero"/>
        <c:crossBetween val="midCat"/>
      </c:valAx>
      <c:valAx>
        <c:axId val="649500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0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Sheet4!$H$8:$H$13</c:f>
              <c:numCache>
                <c:formatCode>General</c:formatCode>
                <c:ptCount val="6"/>
                <c:pt idx="0">
                  <c:v>37.5</c:v>
                </c:pt>
                <c:pt idx="1">
                  <c:v>50</c:v>
                </c:pt>
                <c:pt idx="2">
                  <c:v>62.5</c:v>
                </c:pt>
                <c:pt idx="3">
                  <c:v>75</c:v>
                </c:pt>
                <c:pt idx="4">
                  <c:v>87.5</c:v>
                </c:pt>
                <c:pt idx="5">
                  <c:v>100</c:v>
                </c:pt>
              </c:numCache>
            </c:numRef>
          </c:xVal>
          <c:yVal>
            <c:numRef>
              <c:f>Sheet4!$I$8:$I$13</c:f>
              <c:numCache>
                <c:formatCode>General</c:formatCode>
                <c:ptCount val="6"/>
                <c:pt idx="0">
                  <c:v>27</c:v>
                </c:pt>
                <c:pt idx="1">
                  <c:v>30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D0-429B-9801-41A9D99E6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0532968"/>
        <c:axId val="650533688"/>
      </c:scatterChart>
      <c:valAx>
        <c:axId val="650532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33688"/>
        <c:crosses val="autoZero"/>
        <c:crossBetween val="midCat"/>
      </c:valAx>
      <c:valAx>
        <c:axId val="65053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32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Sheet4!$E$25:$E$32</c:f>
              <c:numCache>
                <c:formatCode>General</c:formatCode>
                <c:ptCount val="8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150</c:v>
                </c:pt>
                <c:pt idx="5">
                  <c:v>200</c:v>
                </c:pt>
                <c:pt idx="6">
                  <c:v>250</c:v>
                </c:pt>
                <c:pt idx="7">
                  <c:v>300</c:v>
                </c:pt>
              </c:numCache>
            </c:numRef>
          </c:xVal>
          <c:yVal>
            <c:numRef>
              <c:f>Sheet4!$F$25:$F$32</c:f>
              <c:numCache>
                <c:formatCode>General</c:formatCode>
                <c:ptCount val="8"/>
                <c:pt idx="0">
                  <c:v>1</c:v>
                </c:pt>
                <c:pt idx="1">
                  <c:v>0.7</c:v>
                </c:pt>
                <c:pt idx="2">
                  <c:v>0.56000000000000005</c:v>
                </c:pt>
                <c:pt idx="3">
                  <c:v>0.45</c:v>
                </c:pt>
                <c:pt idx="4">
                  <c:v>0.4</c:v>
                </c:pt>
                <c:pt idx="5">
                  <c:v>0.35</c:v>
                </c:pt>
                <c:pt idx="6">
                  <c:v>0.33</c:v>
                </c:pt>
                <c:pt idx="7">
                  <c:v>0.33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9-408A-9E7D-B7874D84D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457520"/>
        <c:axId val="668460760"/>
      </c:scatterChart>
      <c:valAx>
        <c:axId val="66845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60760"/>
        <c:crosses val="autoZero"/>
        <c:crossBetween val="midCat"/>
      </c:valAx>
      <c:valAx>
        <c:axId val="66846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57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289374453193351"/>
          <c:y val="5.09259259259259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1.630511811023622E-2"/>
                  <c:y val="-0.2428127734033245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Sheet4!$E$29:$E$32</c:f>
              <c:numCache>
                <c:formatCode>General</c:formatCode>
                <c:ptCount val="4"/>
                <c:pt idx="0">
                  <c:v>150</c:v>
                </c:pt>
                <c:pt idx="1">
                  <c:v>200</c:v>
                </c:pt>
                <c:pt idx="2">
                  <c:v>250</c:v>
                </c:pt>
                <c:pt idx="3">
                  <c:v>300</c:v>
                </c:pt>
              </c:numCache>
            </c:numRef>
          </c:xVal>
          <c:yVal>
            <c:numRef>
              <c:f>Sheet4!$F$29:$F$32</c:f>
              <c:numCache>
                <c:formatCode>General</c:formatCode>
                <c:ptCount val="4"/>
                <c:pt idx="0">
                  <c:v>0.4</c:v>
                </c:pt>
                <c:pt idx="1">
                  <c:v>0.35</c:v>
                </c:pt>
                <c:pt idx="2">
                  <c:v>0.33</c:v>
                </c:pt>
                <c:pt idx="3">
                  <c:v>0.33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D-45C8-99AC-8255EE5C5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492800"/>
        <c:axId val="668493160"/>
      </c:scatterChart>
      <c:valAx>
        <c:axId val="668492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93160"/>
        <c:crosses val="autoZero"/>
        <c:crossBetween val="midCat"/>
      </c:valAx>
      <c:valAx>
        <c:axId val="66849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49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9282633420822402"/>
          <c:y val="9.259259259259258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1.0973315835520561E-3"/>
                  <c:y val="-0.37473461650627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Sheet4!$E$25:$E$29</c:f>
              <c:numCache>
                <c:formatCode>General</c:formatCode>
                <c:ptCount val="5"/>
                <c:pt idx="0">
                  <c:v>30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150</c:v>
                </c:pt>
              </c:numCache>
            </c:numRef>
          </c:xVal>
          <c:yVal>
            <c:numRef>
              <c:f>Sheet4!$F$25:$F$29</c:f>
              <c:numCache>
                <c:formatCode>General</c:formatCode>
                <c:ptCount val="5"/>
                <c:pt idx="0">
                  <c:v>1</c:v>
                </c:pt>
                <c:pt idx="1">
                  <c:v>0.7</c:v>
                </c:pt>
                <c:pt idx="2">
                  <c:v>0.56000000000000005</c:v>
                </c:pt>
                <c:pt idx="3">
                  <c:v>0.45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2C-4AD5-9280-E78E96B53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503960"/>
        <c:axId val="668504320"/>
      </c:scatterChart>
      <c:valAx>
        <c:axId val="668503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504320"/>
        <c:crosses val="autoZero"/>
        <c:crossBetween val="midCat"/>
      </c:valAx>
      <c:valAx>
        <c:axId val="6685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503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71379628916775728"/>
          <c:y val="2.6819927417251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Sheet4!$V$5:$V$8</c:f>
              <c:numCache>
                <c:formatCode>General</c:formatCode>
                <c:ptCount val="4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</c:numCache>
            </c:numRef>
          </c:xVal>
          <c:yVal>
            <c:numRef>
              <c:f>Sheet4!$W$5:$W$8</c:f>
              <c:numCache>
                <c:formatCode>General</c:formatCode>
                <c:ptCount val="4"/>
                <c:pt idx="0">
                  <c:v>1</c:v>
                </c:pt>
                <c:pt idx="1">
                  <c:v>0.95</c:v>
                </c:pt>
                <c:pt idx="2">
                  <c:v>0.8</c:v>
                </c:pt>
                <c:pt idx="3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C-408B-9307-E789FB56C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729136"/>
        <c:axId val="699730216"/>
      </c:scatterChart>
      <c:valAx>
        <c:axId val="69972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30216"/>
        <c:crosses val="autoZero"/>
        <c:crossBetween val="midCat"/>
      </c:valAx>
      <c:valAx>
        <c:axId val="69973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29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Sheet4!$V$11:$V$16</c:f>
              <c:numCache>
                <c:formatCode>General</c:formatCode>
                <c:ptCount val="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</c:numCache>
            </c:numRef>
          </c:xVal>
          <c:yVal>
            <c:numRef>
              <c:f>Sheet4!$W$11:$W$16</c:f>
              <c:numCache>
                <c:formatCode>General</c:formatCode>
                <c:ptCount val="6"/>
                <c:pt idx="0">
                  <c:v>1</c:v>
                </c:pt>
                <c:pt idx="1">
                  <c:v>0.95</c:v>
                </c:pt>
                <c:pt idx="2">
                  <c:v>0.8</c:v>
                </c:pt>
                <c:pt idx="3">
                  <c:v>0.7</c:v>
                </c:pt>
                <c:pt idx="4">
                  <c:v>0.5</c:v>
                </c:pt>
                <c:pt idx="5">
                  <c:v>0.42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E8-48B3-8182-FDA35CF72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738856"/>
        <c:axId val="699736336"/>
      </c:scatterChart>
      <c:valAx>
        <c:axId val="699738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36336"/>
        <c:crosses val="autoZero"/>
        <c:crossBetween val="midCat"/>
      </c:valAx>
      <c:valAx>
        <c:axId val="69973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3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Sheet4!$V$20:$V$28</c:f>
              <c:numCache>
                <c:formatCode>General</c:formatCode>
                <c:ptCount val="9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4.34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4.34</c:v>
                </c:pt>
                <c:pt idx="8">
                  <c:v>4.5</c:v>
                </c:pt>
              </c:numCache>
            </c:numRef>
          </c:xVal>
          <c:yVal>
            <c:numRef>
              <c:f>Sheet4!$W$20:$W$28</c:f>
              <c:numCache>
                <c:formatCode>General</c:formatCode>
                <c:ptCount val="9"/>
                <c:pt idx="0">
                  <c:v>0.875</c:v>
                </c:pt>
                <c:pt idx="1">
                  <c:v>0.75</c:v>
                </c:pt>
                <c:pt idx="2">
                  <c:v>0.72499999999999998</c:v>
                </c:pt>
                <c:pt idx="3">
                  <c:v>0.7</c:v>
                </c:pt>
                <c:pt idx="4">
                  <c:v>0.67500000000000004</c:v>
                </c:pt>
                <c:pt idx="5">
                  <c:v>0.65</c:v>
                </c:pt>
                <c:pt idx="6">
                  <c:v>0.6</c:v>
                </c:pt>
                <c:pt idx="7">
                  <c:v>0.55000000000000004</c:v>
                </c:pt>
                <c:pt idx="8">
                  <c:v>0.52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AF-4F3B-96F2-C9F0DEC8F1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4158960"/>
        <c:axId val="434162560"/>
      </c:scatterChart>
      <c:valAx>
        <c:axId val="43415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62560"/>
        <c:crosses val="autoZero"/>
        <c:crossBetween val="midCat"/>
      </c:valAx>
      <c:valAx>
        <c:axId val="43416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15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Sheet4!$V$31:$V$36</c:f>
              <c:numCache>
                <c:formatCode>General</c:formatCode>
                <c:ptCount val="6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</c:numCache>
            </c:numRef>
          </c:xVal>
          <c:yVal>
            <c:numRef>
              <c:f>Sheet4!$W$31:$W$36</c:f>
              <c:numCache>
                <c:formatCode>General</c:formatCode>
                <c:ptCount val="6"/>
                <c:pt idx="0">
                  <c:v>0.5</c:v>
                </c:pt>
                <c:pt idx="1">
                  <c:v>0.4</c:v>
                </c:pt>
                <c:pt idx="2">
                  <c:v>0.36</c:v>
                </c:pt>
                <c:pt idx="3">
                  <c:v>0.28000000000000003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0-4F49-881F-2373AE68F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737776"/>
        <c:axId val="699739216"/>
      </c:scatterChart>
      <c:valAx>
        <c:axId val="699737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39216"/>
        <c:crosses val="autoZero"/>
        <c:crossBetween val="midCat"/>
      </c:valAx>
      <c:valAx>
        <c:axId val="69973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37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Sheet4!$V$41:$V$46</c:f>
              <c:numCache>
                <c:formatCode>General</c:formatCode>
                <c:ptCount val="6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  <c:pt idx="5">
                  <c:v>4</c:v>
                </c:pt>
              </c:numCache>
            </c:numRef>
          </c:xVal>
          <c:yVal>
            <c:numRef>
              <c:f>Sheet4!$W$41:$W$46</c:f>
              <c:numCache>
                <c:formatCode>General</c:formatCode>
                <c:ptCount val="6"/>
                <c:pt idx="0">
                  <c:v>1</c:v>
                </c:pt>
                <c:pt idx="1">
                  <c:v>0.87</c:v>
                </c:pt>
                <c:pt idx="2">
                  <c:v>0.7</c:v>
                </c:pt>
                <c:pt idx="3">
                  <c:v>0.5</c:v>
                </c:pt>
                <c:pt idx="4">
                  <c:v>0.375</c:v>
                </c:pt>
                <c:pt idx="5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88-4D3C-A283-E429B3454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697816"/>
        <c:axId val="699707896"/>
      </c:scatterChart>
      <c:valAx>
        <c:axId val="699697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07896"/>
        <c:crosses val="autoZero"/>
        <c:crossBetween val="midCat"/>
      </c:valAx>
      <c:valAx>
        <c:axId val="699707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697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Sheet4!$V$49:$V$55</c:f>
              <c:numCache>
                <c:formatCode>General</c:formatCode>
                <c:ptCount val="7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</c:numCache>
            </c:numRef>
          </c:xVal>
          <c:yVal>
            <c:numRef>
              <c:f>Sheet4!$W$49:$W$55</c:f>
              <c:numCache>
                <c:formatCode>General</c:formatCode>
                <c:ptCount val="7"/>
                <c:pt idx="0">
                  <c:v>1</c:v>
                </c:pt>
                <c:pt idx="1">
                  <c:v>0.9</c:v>
                </c:pt>
                <c:pt idx="2">
                  <c:v>0.8</c:v>
                </c:pt>
                <c:pt idx="3">
                  <c:v>0.7</c:v>
                </c:pt>
                <c:pt idx="4">
                  <c:v>0.5</c:v>
                </c:pt>
                <c:pt idx="5">
                  <c:v>0.3</c:v>
                </c:pt>
                <c:pt idx="6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6-4832-A00A-393D4B451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9717616"/>
        <c:axId val="699718696"/>
      </c:scatterChart>
      <c:valAx>
        <c:axId val="69971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18696"/>
        <c:crosses val="autoZero"/>
        <c:crossBetween val="midCat"/>
      </c:valAx>
      <c:valAx>
        <c:axId val="69971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71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19</xdr:row>
          <xdr:rowOff>144780</xdr:rowOff>
        </xdr:from>
        <xdr:to>
          <xdr:col>5</xdr:col>
          <xdr:colOff>22860</xdr:colOff>
          <xdr:row>21</xdr:row>
          <xdr:rowOff>83820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293914</xdr:colOff>
      <xdr:row>0</xdr:row>
      <xdr:rowOff>137886</xdr:rowOff>
    </xdr:from>
    <xdr:to>
      <xdr:col>19</xdr:col>
      <xdr:colOff>598714</xdr:colOff>
      <xdr:row>16</xdr:row>
      <xdr:rowOff>159658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344714</xdr:colOff>
      <xdr:row>4</xdr:row>
      <xdr:rowOff>29027</xdr:rowOff>
    </xdr:from>
    <xdr:to>
      <xdr:col>12</xdr:col>
      <xdr:colOff>39914</xdr:colOff>
      <xdr:row>19</xdr:row>
      <xdr:rowOff>50798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439057</xdr:colOff>
      <xdr:row>21</xdr:row>
      <xdr:rowOff>152398</xdr:rowOff>
    </xdr:from>
    <xdr:to>
      <xdr:col>20</xdr:col>
      <xdr:colOff>123371</xdr:colOff>
      <xdr:row>34</xdr:row>
      <xdr:rowOff>116115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76201</xdr:colOff>
      <xdr:row>33</xdr:row>
      <xdr:rowOff>145142</xdr:rowOff>
    </xdr:from>
    <xdr:to>
      <xdr:col>13</xdr:col>
      <xdr:colOff>381001</xdr:colOff>
      <xdr:row>48</xdr:row>
      <xdr:rowOff>166914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605973</xdr:colOff>
      <xdr:row>17</xdr:row>
      <xdr:rowOff>43543</xdr:rowOff>
    </xdr:from>
    <xdr:to>
      <xdr:col>15</xdr:col>
      <xdr:colOff>301173</xdr:colOff>
      <xdr:row>32</xdr:row>
      <xdr:rowOff>65315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464456</xdr:colOff>
      <xdr:row>0</xdr:row>
      <xdr:rowOff>159656</xdr:rowOff>
    </xdr:from>
    <xdr:to>
      <xdr:col>29</xdr:col>
      <xdr:colOff>319313</xdr:colOff>
      <xdr:row>8</xdr:row>
      <xdr:rowOff>14514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366485</xdr:colOff>
      <xdr:row>8</xdr:row>
      <xdr:rowOff>65313</xdr:rowOff>
    </xdr:from>
    <xdr:to>
      <xdr:col>29</xdr:col>
      <xdr:colOff>275771</xdr:colOff>
      <xdr:row>14</xdr:row>
      <xdr:rowOff>159657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235856</xdr:colOff>
      <xdr:row>16</xdr:row>
      <xdr:rowOff>137888</xdr:rowOff>
    </xdr:from>
    <xdr:to>
      <xdr:col>28</xdr:col>
      <xdr:colOff>370114</xdr:colOff>
      <xdr:row>27</xdr:row>
      <xdr:rowOff>145144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141514</xdr:colOff>
      <xdr:row>27</xdr:row>
      <xdr:rowOff>7258</xdr:rowOff>
    </xdr:from>
    <xdr:to>
      <xdr:col>27</xdr:col>
      <xdr:colOff>7257</xdr:colOff>
      <xdr:row>37</xdr:row>
      <xdr:rowOff>58058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188685</xdr:colOff>
      <xdr:row>38</xdr:row>
      <xdr:rowOff>65313</xdr:rowOff>
    </xdr:from>
    <xdr:to>
      <xdr:col>30</xdr:col>
      <xdr:colOff>50801</xdr:colOff>
      <xdr:row>45</xdr:row>
      <xdr:rowOff>159657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210456</xdr:colOff>
      <xdr:row>47</xdr:row>
      <xdr:rowOff>152399</xdr:rowOff>
    </xdr:from>
    <xdr:to>
      <xdr:col>30</xdr:col>
      <xdr:colOff>14514</xdr:colOff>
      <xdr:row>56</xdr:row>
      <xdr:rowOff>130629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EB79B4-3339-4E88-82ED-2C38C9858FF4}">
  <sheetPr codeName="Sheet1"/>
  <dimension ref="B1:AH57"/>
  <sheetViews>
    <sheetView tabSelected="1" topLeftCell="C1" zoomScale="63" zoomScaleNormal="29" workbookViewId="0">
      <selection activeCell="E13" sqref="E13"/>
    </sheetView>
  </sheetViews>
  <sheetFormatPr defaultRowHeight="14.4" x14ac:dyDescent="0.3"/>
  <cols>
    <col min="2" max="2" width="39.5546875" customWidth="1"/>
    <col min="4" max="4" width="20.109375" customWidth="1"/>
    <col min="5" max="5" width="17.44140625" customWidth="1"/>
    <col min="6" max="6" width="11.33203125" customWidth="1"/>
    <col min="7" max="7" width="12.33203125" customWidth="1"/>
    <col min="8" max="8" width="9" bestFit="1" customWidth="1"/>
    <col min="9" max="9" width="14.21875" customWidth="1"/>
    <col min="10" max="10" width="17" customWidth="1"/>
    <col min="11" max="11" width="9.6640625" bestFit="1" customWidth="1"/>
    <col min="12" max="12" width="11.6640625" bestFit="1" customWidth="1"/>
    <col min="13" max="13" width="9" bestFit="1" customWidth="1"/>
    <col min="14" max="14" width="11" customWidth="1"/>
    <col min="15" max="15" width="11.88671875" customWidth="1"/>
    <col min="18" max="18" width="13" customWidth="1"/>
    <col min="20" max="20" width="10.5546875" bestFit="1" customWidth="1"/>
    <col min="26" max="26" width="10.77734375" customWidth="1"/>
  </cols>
  <sheetData>
    <row r="1" spans="2:34" x14ac:dyDescent="0.3">
      <c r="B1" s="8"/>
    </row>
    <row r="2" spans="2:34" ht="15.6" customHeight="1" x14ac:dyDescent="0.3">
      <c r="B2" s="42" t="s">
        <v>20</v>
      </c>
      <c r="D2" s="29" t="s">
        <v>33</v>
      </c>
      <c r="E2" s="25" t="str">
        <f>IF(Sheet1!B3="AASHTO",IF(Sheet1!D3="Driven Pile","Required","Not required"),"Not required")</f>
        <v>Not required</v>
      </c>
      <c r="F2" s="51" t="s">
        <v>36</v>
      </c>
      <c r="G2" s="52"/>
    </row>
    <row r="3" spans="2:34" ht="51.6" customHeight="1" x14ac:dyDescent="0.3">
      <c r="B3" s="9" t="s">
        <v>15</v>
      </c>
      <c r="D3" s="9" t="s">
        <v>34</v>
      </c>
      <c r="E3" s="26" t="s">
        <v>50</v>
      </c>
      <c r="F3" s="44" t="str">
        <f>IF(D5="circular","Dia(inch)","shortest side (inch)")</f>
        <v>Dia(inch)</v>
      </c>
      <c r="G3" s="45" t="str">
        <f>IF(D5="circular","","longest side (inch)")</f>
        <v/>
      </c>
      <c r="H3" s="46" t="s">
        <v>101</v>
      </c>
      <c r="I3" s="47" t="str">
        <f>IF(Sheet4!B12="depth","Layer Depth(ft)","RL OF Layer (ft)")</f>
        <v>Layer Depth(ft)</v>
      </c>
      <c r="J3" s="47" t="str">
        <f>IF(Sheet4!B12="depth","Previous Layer Depth(ft)","RL OF Previous Layer (ft)")</f>
        <v>Previous Layer Depth(ft)</v>
      </c>
      <c r="K3" s="46" t="s">
        <v>3</v>
      </c>
      <c r="L3" s="46" t="str">
        <f>IF(Sheet4!B12="depth","depth (ft)","RL (ft)")</f>
        <v>depth (ft)</v>
      </c>
      <c r="M3" s="46" t="s">
        <v>54</v>
      </c>
      <c r="N3" s="47" t="s">
        <v>58</v>
      </c>
      <c r="S3" s="6"/>
      <c r="U3" s="70"/>
      <c r="V3" s="71"/>
      <c r="W3" s="71"/>
      <c r="X3" s="71"/>
      <c r="Y3" s="71"/>
      <c r="Z3" s="71"/>
      <c r="AA3" s="71"/>
      <c r="AB3" s="71"/>
      <c r="AC3" s="71"/>
      <c r="AD3" s="70"/>
      <c r="AE3" s="70"/>
      <c r="AF3" s="70"/>
      <c r="AG3" s="70"/>
      <c r="AH3" s="70"/>
    </row>
    <row r="4" spans="2:34" ht="21" x14ac:dyDescent="0.4">
      <c r="B4" s="29" t="s">
        <v>22</v>
      </c>
      <c r="D4" s="29" t="s">
        <v>35</v>
      </c>
      <c r="E4" s="39" t="str">
        <f>IF(Sheet4!B12="reduced level","Required","Not required")</f>
        <v>Not required</v>
      </c>
      <c r="F4" s="38">
        <v>26</v>
      </c>
      <c r="G4" s="33">
        <v>45</v>
      </c>
      <c r="H4" s="35">
        <v>1</v>
      </c>
      <c r="I4" s="36">
        <v>8.8855380000000004</v>
      </c>
      <c r="J4" s="50">
        <v>0</v>
      </c>
      <c r="K4" s="36" t="s">
        <v>52</v>
      </c>
      <c r="L4" s="7">
        <v>5.413386</v>
      </c>
      <c r="M4" s="37">
        <v>8</v>
      </c>
      <c r="N4" s="37">
        <v>0.12</v>
      </c>
      <c r="P4" s="16"/>
      <c r="R4" s="22"/>
      <c r="U4" s="72"/>
      <c r="V4" s="72"/>
      <c r="W4" s="72"/>
      <c r="X4" s="72"/>
      <c r="Y4" s="71"/>
      <c r="Z4" s="72"/>
      <c r="AA4" s="71"/>
      <c r="AB4" s="72"/>
      <c r="AC4" s="72"/>
      <c r="AD4" s="70"/>
      <c r="AE4" s="73"/>
      <c r="AF4" s="73"/>
      <c r="AG4" s="73"/>
      <c r="AH4" s="70"/>
    </row>
    <row r="5" spans="2:34" ht="28.8" x14ac:dyDescent="0.3">
      <c r="B5" s="9" t="s">
        <v>25</v>
      </c>
      <c r="D5" s="10" t="s">
        <v>0</v>
      </c>
      <c r="E5" s="40" t="s">
        <v>49</v>
      </c>
      <c r="H5" s="35">
        <v>2</v>
      </c>
      <c r="I5" s="36">
        <v>13.492853999999999</v>
      </c>
      <c r="J5" s="36">
        <f>I4</f>
        <v>8.8855380000000004</v>
      </c>
      <c r="K5" s="36" t="s">
        <v>39</v>
      </c>
      <c r="L5" s="7">
        <v>10.990814</v>
      </c>
      <c r="M5" s="37">
        <v>10</v>
      </c>
      <c r="N5" s="37">
        <v>0.12</v>
      </c>
      <c r="P5" s="16"/>
      <c r="R5" s="22"/>
      <c r="U5" s="72"/>
      <c r="V5" s="72"/>
      <c r="W5" s="72"/>
      <c r="X5" s="72"/>
      <c r="Y5" s="71"/>
      <c r="Z5" s="72"/>
      <c r="AA5" s="71"/>
      <c r="AB5" s="72"/>
      <c r="AC5" s="72"/>
      <c r="AD5" s="70"/>
      <c r="AE5" s="73"/>
      <c r="AF5" s="73"/>
      <c r="AG5" s="73"/>
      <c r="AH5" s="70"/>
    </row>
    <row r="6" spans="2:34" x14ac:dyDescent="0.3">
      <c r="D6" s="29" t="s">
        <v>55</v>
      </c>
      <c r="E6" s="41">
        <v>-26</v>
      </c>
      <c r="H6" s="35">
        <v>3</v>
      </c>
      <c r="I6" s="36">
        <v>24.023861999999998</v>
      </c>
      <c r="J6" s="36">
        <f t="shared" ref="J6:J22" si="0">I5</f>
        <v>13.492853999999999</v>
      </c>
      <c r="K6" s="36" t="s">
        <v>39</v>
      </c>
      <c r="L6" s="7">
        <v>15.912073999999999</v>
      </c>
      <c r="M6" s="37">
        <v>9</v>
      </c>
      <c r="N6" s="37">
        <v>0.12</v>
      </c>
      <c r="P6" s="16"/>
      <c r="R6" s="22"/>
      <c r="U6" s="72"/>
      <c r="V6" s="72"/>
      <c r="W6" s="72"/>
      <c r="X6" s="72"/>
      <c r="Y6" s="71"/>
      <c r="Z6" s="72"/>
      <c r="AA6" s="71"/>
      <c r="AB6" s="72"/>
      <c r="AC6" s="72"/>
      <c r="AD6" s="70"/>
      <c r="AE6" s="73"/>
      <c r="AF6" s="73"/>
      <c r="AG6" s="73"/>
      <c r="AH6" s="70"/>
    </row>
    <row r="7" spans="2:34" x14ac:dyDescent="0.3">
      <c r="D7" s="9" t="s">
        <v>57</v>
      </c>
      <c r="H7" s="35"/>
      <c r="I7" s="36">
        <v>24.023861999999998</v>
      </c>
      <c r="J7" s="36">
        <f>I5</f>
        <v>13.492853999999999</v>
      </c>
      <c r="K7" s="36" t="s">
        <v>39</v>
      </c>
      <c r="L7" s="7">
        <v>20.833333999999997</v>
      </c>
      <c r="M7" s="37">
        <v>11</v>
      </c>
      <c r="N7" s="37">
        <v>0.12</v>
      </c>
      <c r="P7" s="16"/>
      <c r="R7" s="22"/>
      <c r="U7" s="72"/>
      <c r="V7" s="72"/>
      <c r="W7" s="72"/>
      <c r="X7" s="72"/>
      <c r="Y7" s="71"/>
      <c r="Z7" s="72"/>
      <c r="AA7" s="71"/>
      <c r="AB7" s="72"/>
      <c r="AC7" s="72"/>
      <c r="AD7" s="70"/>
      <c r="AE7" s="73"/>
      <c r="AF7" s="73"/>
      <c r="AG7" s="73"/>
      <c r="AH7" s="70"/>
    </row>
    <row r="8" spans="2:34" ht="28.8" x14ac:dyDescent="0.3">
      <c r="D8" s="43" t="str">
        <f>IF(Sheet4!B12="reduced level","Reduced level of water table (ft)","Depth of water table (ft)")</f>
        <v>Depth of water table (ft)</v>
      </c>
      <c r="H8" s="35">
        <v>4</v>
      </c>
      <c r="I8" s="36">
        <v>32.251212000000002</v>
      </c>
      <c r="J8" s="36">
        <f t="shared" si="0"/>
        <v>24.023861999999998</v>
      </c>
      <c r="K8" s="36" t="s">
        <v>52</v>
      </c>
      <c r="L8" s="7">
        <v>25.754593999999997</v>
      </c>
      <c r="M8" s="37">
        <v>19</v>
      </c>
      <c r="N8" s="37">
        <v>0.12</v>
      </c>
      <c r="P8" s="16"/>
      <c r="R8" s="22"/>
      <c r="U8" s="72"/>
      <c r="V8" s="72"/>
      <c r="W8" s="72"/>
      <c r="X8" s="72"/>
      <c r="Y8" s="71"/>
      <c r="Z8" s="72"/>
      <c r="AA8" s="71"/>
      <c r="AB8" s="72"/>
      <c r="AC8" s="72"/>
      <c r="AD8" s="70"/>
      <c r="AE8" s="73"/>
      <c r="AF8" s="73"/>
      <c r="AG8" s="73"/>
      <c r="AH8" s="70"/>
    </row>
    <row r="9" spans="2:34" ht="16.2" customHeight="1" x14ac:dyDescent="0.3">
      <c r="B9" s="24" t="str">
        <f>IF(B3="BNBC","Required","Not required")</f>
        <v>Not required</v>
      </c>
      <c r="D9" s="9">
        <v>40</v>
      </c>
      <c r="H9" s="35"/>
      <c r="I9" s="36">
        <v>32.251212000000002</v>
      </c>
      <c r="J9" s="36">
        <f>I7</f>
        <v>24.023861999999998</v>
      </c>
      <c r="K9" s="36" t="s">
        <v>40</v>
      </c>
      <c r="L9" s="7">
        <v>30.019686</v>
      </c>
      <c r="M9" s="37">
        <v>20</v>
      </c>
      <c r="N9" s="37">
        <v>0.12</v>
      </c>
      <c r="P9" s="16"/>
      <c r="R9" s="22"/>
      <c r="U9" s="72"/>
      <c r="V9" s="72"/>
      <c r="W9" s="72"/>
      <c r="X9" s="72"/>
      <c r="Y9" s="71"/>
      <c r="Z9" s="72"/>
      <c r="AA9" s="71"/>
      <c r="AB9" s="72"/>
      <c r="AC9" s="72"/>
      <c r="AD9" s="70"/>
      <c r="AE9" s="73"/>
      <c r="AF9" s="73"/>
      <c r="AG9" s="73"/>
      <c r="AH9" s="70"/>
    </row>
    <row r="10" spans="2:34" ht="19.2" customHeight="1" x14ac:dyDescent="0.3">
      <c r="B10" s="29" t="s">
        <v>41</v>
      </c>
      <c r="D10" s="6"/>
      <c r="H10" s="35">
        <v>5</v>
      </c>
      <c r="I10" s="36">
        <v>41.136749999999999</v>
      </c>
      <c r="J10" s="36">
        <f>I9</f>
        <v>32.251212000000002</v>
      </c>
      <c r="K10" s="36" t="s">
        <v>52</v>
      </c>
      <c r="L10" s="7">
        <v>34.940946000000004</v>
      </c>
      <c r="M10" s="37">
        <v>23</v>
      </c>
      <c r="N10" s="37">
        <v>0.12</v>
      </c>
      <c r="P10" s="16"/>
      <c r="R10" s="22"/>
      <c r="U10" s="72"/>
      <c r="V10" s="72"/>
      <c r="W10" s="72"/>
      <c r="X10" s="72"/>
      <c r="Y10" s="71"/>
      <c r="Z10" s="72"/>
      <c r="AA10" s="71"/>
      <c r="AB10" s="72"/>
      <c r="AC10" s="72"/>
      <c r="AD10" s="70"/>
      <c r="AE10" s="73"/>
      <c r="AF10" s="73"/>
      <c r="AG10" s="73"/>
      <c r="AH10" s="70"/>
    </row>
    <row r="11" spans="2:34" x14ac:dyDescent="0.3">
      <c r="B11" s="9" t="s">
        <v>29</v>
      </c>
      <c r="D11" s="6"/>
      <c r="H11" s="35">
        <v>6</v>
      </c>
      <c r="I11" s="36">
        <v>58.578732000000002</v>
      </c>
      <c r="J11" s="36">
        <f t="shared" si="0"/>
        <v>41.136749999999999</v>
      </c>
      <c r="K11" s="36" t="s">
        <v>40</v>
      </c>
      <c r="L11" s="7">
        <v>41.502625999999999</v>
      </c>
      <c r="M11" s="37">
        <v>26</v>
      </c>
      <c r="N11" s="37">
        <v>0.12</v>
      </c>
      <c r="P11" s="16"/>
      <c r="R11" s="22"/>
      <c r="U11" s="72"/>
      <c r="V11" s="72"/>
      <c r="W11" s="72"/>
      <c r="X11" s="72"/>
      <c r="Y11" s="71"/>
      <c r="Z11" s="72"/>
      <c r="AA11" s="71"/>
      <c r="AB11" s="72"/>
      <c r="AC11" s="72"/>
      <c r="AD11" s="70"/>
      <c r="AE11" s="73"/>
      <c r="AF11" s="73"/>
      <c r="AG11" s="73"/>
      <c r="AH11" s="70"/>
    </row>
    <row r="12" spans="2:34" ht="16.2" customHeight="1" x14ac:dyDescent="0.3">
      <c r="B12" s="29" t="s">
        <v>42</v>
      </c>
      <c r="D12" s="6"/>
      <c r="H12" s="35"/>
      <c r="I12" s="36">
        <v>58.578732000000002</v>
      </c>
      <c r="J12" s="36">
        <f>I10</f>
        <v>41.136749999999999</v>
      </c>
      <c r="K12" s="36" t="s">
        <v>40</v>
      </c>
      <c r="L12" s="7">
        <v>46.423886000000003</v>
      </c>
      <c r="M12" s="37">
        <v>19</v>
      </c>
      <c r="N12" s="37">
        <v>0.12</v>
      </c>
      <c r="P12" s="16"/>
      <c r="R12" s="22"/>
      <c r="U12" s="72"/>
      <c r="V12" s="72"/>
      <c r="W12" s="72"/>
      <c r="X12" s="72"/>
      <c r="Y12" s="71"/>
      <c r="Z12" s="72"/>
      <c r="AA12" s="71"/>
      <c r="AB12" s="72"/>
      <c r="AC12" s="72"/>
      <c r="AD12" s="70"/>
      <c r="AE12" s="73"/>
      <c r="AF12" s="73"/>
      <c r="AG12" s="73"/>
      <c r="AH12" s="70"/>
    </row>
    <row r="13" spans="2:34" x14ac:dyDescent="0.3">
      <c r="B13" s="9">
        <v>10</v>
      </c>
      <c r="H13" s="35"/>
      <c r="I13" s="36">
        <v>58.578732000000002</v>
      </c>
      <c r="J13" s="36">
        <f>I10</f>
        <v>41.136749999999999</v>
      </c>
      <c r="K13" s="36" t="s">
        <v>40</v>
      </c>
      <c r="L13" s="7">
        <v>52.985565999999992</v>
      </c>
      <c r="M13" s="37">
        <v>19</v>
      </c>
      <c r="N13" s="37">
        <v>0.12</v>
      </c>
      <c r="P13" s="16"/>
      <c r="R13" s="22"/>
      <c r="U13" s="72"/>
      <c r="V13" s="72"/>
      <c r="W13" s="72"/>
      <c r="X13" s="72"/>
      <c r="Y13" s="71"/>
      <c r="Z13" s="72"/>
      <c r="AA13" s="71"/>
      <c r="AB13" s="72"/>
      <c r="AC13" s="72"/>
      <c r="AD13" s="70"/>
      <c r="AE13" s="73"/>
      <c r="AF13" s="73"/>
      <c r="AG13" s="73"/>
      <c r="AH13" s="70"/>
    </row>
    <row r="14" spans="2:34" ht="17.399999999999999" customHeight="1" x14ac:dyDescent="0.3">
      <c r="B14" s="29" t="s">
        <v>43</v>
      </c>
      <c r="H14" s="35">
        <v>7</v>
      </c>
      <c r="I14" s="36">
        <v>70.755210000000005</v>
      </c>
      <c r="J14" s="36">
        <f>I13</f>
        <v>58.578732000000002</v>
      </c>
      <c r="K14" s="36" t="s">
        <v>52</v>
      </c>
      <c r="L14" s="7">
        <v>59.875329999999998</v>
      </c>
      <c r="M14" s="37">
        <v>13</v>
      </c>
      <c r="N14" s="37">
        <v>0.12</v>
      </c>
      <c r="P14" s="16"/>
      <c r="R14" s="22"/>
      <c r="U14" s="72"/>
      <c r="V14" s="72"/>
      <c r="W14" s="72"/>
      <c r="X14" s="72"/>
      <c r="Y14" s="71"/>
      <c r="Z14" s="72"/>
      <c r="AA14" s="71"/>
      <c r="AB14" s="72"/>
      <c r="AC14" s="72"/>
      <c r="AD14" s="70"/>
      <c r="AE14" s="73"/>
      <c r="AF14" s="73"/>
      <c r="AG14" s="73"/>
      <c r="AH14" s="70"/>
    </row>
    <row r="15" spans="2:34" x14ac:dyDescent="0.3">
      <c r="B15" s="9" t="s">
        <v>31</v>
      </c>
      <c r="H15" s="35"/>
      <c r="I15" s="36">
        <v>70.755210000000005</v>
      </c>
      <c r="J15" s="36">
        <f>I13</f>
        <v>58.578732000000002</v>
      </c>
      <c r="K15" s="36" t="s">
        <v>52</v>
      </c>
      <c r="L15" s="7">
        <v>66.765094000000005</v>
      </c>
      <c r="M15" s="37">
        <v>13</v>
      </c>
      <c r="N15" s="37">
        <v>0.12</v>
      </c>
      <c r="P15" s="16"/>
      <c r="R15" s="22"/>
      <c r="U15" s="72"/>
      <c r="V15" s="72"/>
      <c r="W15" s="72"/>
      <c r="X15" s="72"/>
      <c r="Y15" s="71"/>
      <c r="Z15" s="72"/>
      <c r="AA15" s="71"/>
      <c r="AB15" s="72"/>
      <c r="AC15" s="72"/>
      <c r="AD15" s="70"/>
      <c r="AE15" s="73"/>
      <c r="AF15" s="73"/>
      <c r="AG15" s="73"/>
      <c r="AH15" s="70"/>
    </row>
    <row r="16" spans="2:34" ht="19.8" customHeight="1" x14ac:dyDescent="0.3">
      <c r="B16" s="29" t="s">
        <v>44</v>
      </c>
      <c r="H16" s="35">
        <v>9</v>
      </c>
      <c r="I16" s="36">
        <v>95.437259999999995</v>
      </c>
      <c r="J16" s="36">
        <f>I14</f>
        <v>70.755210000000005</v>
      </c>
      <c r="K16" s="36" t="s">
        <v>40</v>
      </c>
      <c r="L16" s="7">
        <v>72.342522000000002</v>
      </c>
      <c r="M16" s="37">
        <v>23</v>
      </c>
      <c r="N16" s="37">
        <v>0.12</v>
      </c>
      <c r="P16" s="16"/>
      <c r="R16" s="22"/>
      <c r="U16" s="72"/>
      <c r="V16" s="72"/>
      <c r="W16" s="72"/>
      <c r="X16" s="74"/>
      <c r="Y16" s="71"/>
      <c r="Z16" s="72"/>
      <c r="AA16" s="71"/>
      <c r="AB16" s="72"/>
      <c r="AC16" s="72"/>
      <c r="AD16" s="70"/>
      <c r="AE16" s="70"/>
      <c r="AF16" s="70"/>
      <c r="AG16" s="70"/>
      <c r="AH16" s="70"/>
    </row>
    <row r="17" spans="2:34" x14ac:dyDescent="0.3">
      <c r="B17" s="9">
        <v>5</v>
      </c>
      <c r="H17" s="35"/>
      <c r="I17" s="36">
        <v>95.437259999999995</v>
      </c>
      <c r="J17" s="36">
        <f>J16</f>
        <v>70.755210000000005</v>
      </c>
      <c r="K17" s="36" t="s">
        <v>40</v>
      </c>
      <c r="L17" s="7">
        <v>78.904201999999998</v>
      </c>
      <c r="M17" s="37">
        <v>29</v>
      </c>
      <c r="N17" s="37">
        <v>0.12</v>
      </c>
      <c r="P17" s="16"/>
      <c r="R17" s="22"/>
      <c r="U17" s="72"/>
      <c r="V17" s="72"/>
      <c r="W17" s="72"/>
      <c r="X17" s="74"/>
      <c r="Y17" s="71"/>
      <c r="Z17" s="72"/>
      <c r="AA17" s="71"/>
      <c r="AB17" s="72"/>
      <c r="AC17" s="72"/>
      <c r="AD17" s="70"/>
      <c r="AE17" s="70"/>
      <c r="AF17" s="70"/>
      <c r="AG17" s="70"/>
      <c r="AH17" s="70"/>
    </row>
    <row r="18" spans="2:34" x14ac:dyDescent="0.3">
      <c r="B18" s="6"/>
      <c r="H18" s="35"/>
      <c r="I18" s="36">
        <v>95.437259999999995</v>
      </c>
      <c r="J18" s="36">
        <f t="shared" ref="J18:J19" si="1">J17</f>
        <v>70.755210000000005</v>
      </c>
      <c r="K18" s="36" t="s">
        <v>40</v>
      </c>
      <c r="L18" s="7">
        <v>85.465882000000008</v>
      </c>
      <c r="M18" s="37">
        <v>28</v>
      </c>
      <c r="N18" s="37">
        <v>0.12</v>
      </c>
      <c r="P18" s="16"/>
      <c r="R18" s="22"/>
      <c r="U18" s="72"/>
      <c r="V18" s="72"/>
      <c r="W18" s="72"/>
      <c r="X18" s="74"/>
      <c r="Y18" s="71"/>
      <c r="Z18" s="72"/>
      <c r="AA18" s="71"/>
      <c r="AB18" s="72"/>
      <c r="AC18" s="72"/>
      <c r="AD18" s="70"/>
      <c r="AE18" s="70"/>
      <c r="AF18" s="70"/>
      <c r="AG18" s="70"/>
      <c r="AH18" s="70"/>
    </row>
    <row r="19" spans="2:34" x14ac:dyDescent="0.3">
      <c r="B19" s="6"/>
      <c r="H19" s="35"/>
      <c r="I19" s="36">
        <v>95.437259999999995</v>
      </c>
      <c r="J19" s="36">
        <f t="shared" si="1"/>
        <v>70.755210000000005</v>
      </c>
      <c r="K19" s="36" t="s">
        <v>40</v>
      </c>
      <c r="L19" s="7">
        <v>92.027562000000003</v>
      </c>
      <c r="M19" s="37">
        <v>30</v>
      </c>
      <c r="N19" s="37">
        <v>0.12</v>
      </c>
      <c r="P19" s="16"/>
      <c r="R19" s="22"/>
      <c r="U19" s="72"/>
      <c r="V19" s="72"/>
      <c r="W19" s="72"/>
      <c r="X19" s="75"/>
      <c r="Y19" s="71"/>
      <c r="Z19" s="72"/>
      <c r="AA19" s="71"/>
      <c r="AB19" s="72"/>
      <c r="AC19" s="72"/>
      <c r="AD19" s="70"/>
      <c r="AE19" s="70"/>
      <c r="AF19" s="70"/>
      <c r="AG19" s="70"/>
      <c r="AH19" s="70"/>
    </row>
    <row r="20" spans="2:34" x14ac:dyDescent="0.3">
      <c r="B20" s="6"/>
      <c r="H20" s="35">
        <v>10</v>
      </c>
      <c r="I20" s="36">
        <v>107.942832</v>
      </c>
      <c r="J20" s="36">
        <f>I19</f>
        <v>95.437259999999995</v>
      </c>
      <c r="K20" s="36" t="s">
        <v>40</v>
      </c>
      <c r="L20" s="7">
        <v>98.917325999999989</v>
      </c>
      <c r="M20" s="37">
        <v>32</v>
      </c>
      <c r="N20" s="37">
        <v>0.12</v>
      </c>
      <c r="P20" s="16"/>
      <c r="R20" s="22"/>
      <c r="U20" s="72"/>
      <c r="V20" s="72"/>
      <c r="W20" s="72"/>
      <c r="X20" s="75"/>
      <c r="Y20" s="71"/>
      <c r="Z20" s="72"/>
      <c r="AA20" s="71"/>
      <c r="AB20" s="72"/>
      <c r="AC20" s="72"/>
      <c r="AD20" s="70"/>
      <c r="AE20" s="70"/>
      <c r="AF20" s="70"/>
      <c r="AG20" s="70"/>
      <c r="AH20" s="70"/>
    </row>
    <row r="21" spans="2:34" x14ac:dyDescent="0.3">
      <c r="H21" s="35"/>
      <c r="I21" s="36">
        <v>107.942832</v>
      </c>
      <c r="J21" s="36">
        <f>J20</f>
        <v>95.437259999999995</v>
      </c>
      <c r="K21" s="36" t="s">
        <v>40</v>
      </c>
      <c r="L21" s="7">
        <v>104.82283799999999</v>
      </c>
      <c r="M21" s="37">
        <v>20</v>
      </c>
      <c r="N21" s="37">
        <v>0.12</v>
      </c>
      <c r="P21" s="16"/>
      <c r="R21" s="22"/>
      <c r="U21" s="72"/>
      <c r="V21" s="72"/>
      <c r="W21" s="72"/>
      <c r="X21" s="75"/>
      <c r="Y21" s="71"/>
      <c r="Z21" s="72"/>
      <c r="AA21" s="71"/>
      <c r="AB21" s="72"/>
      <c r="AC21" s="72"/>
      <c r="AD21" s="70"/>
      <c r="AE21" s="70"/>
      <c r="AF21" s="70"/>
      <c r="AG21" s="70"/>
      <c r="AH21" s="70"/>
    </row>
    <row r="22" spans="2:34" x14ac:dyDescent="0.3">
      <c r="H22" s="35">
        <v>11</v>
      </c>
      <c r="I22" s="36">
        <v>116.82836999999999</v>
      </c>
      <c r="J22" s="36">
        <f t="shared" si="0"/>
        <v>107.942832</v>
      </c>
      <c r="K22" s="36" t="s">
        <v>39</v>
      </c>
      <c r="L22" s="7">
        <v>111.38451800000001</v>
      </c>
      <c r="M22" s="37">
        <v>43</v>
      </c>
      <c r="N22" s="37">
        <v>0.12</v>
      </c>
      <c r="P22" s="16"/>
      <c r="R22" s="22"/>
      <c r="U22" s="72"/>
      <c r="V22" s="72"/>
      <c r="W22" s="72"/>
      <c r="X22" s="75"/>
      <c r="Y22" s="71"/>
      <c r="Z22" s="72"/>
      <c r="AA22" s="71"/>
      <c r="AB22" s="72"/>
      <c r="AC22" s="72"/>
      <c r="AD22" s="70"/>
      <c r="AE22" s="70"/>
      <c r="AF22" s="70"/>
      <c r="AG22" s="70"/>
      <c r="AH22" s="70"/>
    </row>
    <row r="23" spans="2:34" x14ac:dyDescent="0.3">
      <c r="H23" s="35"/>
      <c r="I23" s="36">
        <v>116.82836999999999</v>
      </c>
      <c r="J23" s="36">
        <f>J22</f>
        <v>107.942832</v>
      </c>
      <c r="K23" s="36" t="s">
        <v>39</v>
      </c>
      <c r="L23" s="7">
        <v>117.94619800000001</v>
      </c>
      <c r="M23" s="37">
        <v>50</v>
      </c>
      <c r="N23" s="37">
        <v>0.12</v>
      </c>
      <c r="O23" s="6"/>
      <c r="P23" s="16"/>
      <c r="R23" s="22"/>
      <c r="U23" s="72"/>
      <c r="V23" s="72"/>
      <c r="W23" s="72"/>
      <c r="X23" s="75"/>
      <c r="Y23" s="71"/>
      <c r="Z23" s="72"/>
      <c r="AA23" s="71"/>
      <c r="AB23" s="72"/>
      <c r="AC23" s="72"/>
      <c r="AD23" s="70"/>
      <c r="AE23" s="70"/>
      <c r="AF23" s="70"/>
      <c r="AG23" s="70"/>
      <c r="AH23" s="70"/>
    </row>
    <row r="24" spans="2:34" x14ac:dyDescent="0.3">
      <c r="H24" s="28"/>
      <c r="I24" s="5"/>
      <c r="J24" s="18"/>
      <c r="K24" s="5"/>
      <c r="L24" s="1"/>
      <c r="M24" s="1"/>
      <c r="N24" s="1"/>
      <c r="O24" s="6"/>
      <c r="P24" s="6"/>
      <c r="W24" s="16"/>
      <c r="X24" s="17"/>
      <c r="Y24" s="16"/>
      <c r="Z24" s="6"/>
    </row>
    <row r="25" spans="2:34" x14ac:dyDescent="0.3">
      <c r="H25" s="28"/>
      <c r="I25" s="5"/>
      <c r="J25" s="18"/>
      <c r="K25" s="5"/>
      <c r="L25" s="1"/>
      <c r="M25" s="1"/>
      <c r="N25" s="1"/>
      <c r="O25" s="6"/>
      <c r="P25" s="6"/>
      <c r="W25" s="16"/>
      <c r="X25" s="17"/>
      <c r="Y25" s="16"/>
      <c r="Z25" s="71"/>
      <c r="AA25" s="78"/>
      <c r="AB25" s="71"/>
      <c r="AC25" s="72"/>
      <c r="AD25" s="72"/>
    </row>
    <row r="26" spans="2:34" x14ac:dyDescent="0.3">
      <c r="H26" s="28"/>
      <c r="I26" s="5"/>
      <c r="J26" s="18"/>
      <c r="K26" s="5"/>
      <c r="L26" s="1"/>
      <c r="M26" s="1"/>
      <c r="N26" s="1"/>
      <c r="O26" s="6"/>
      <c r="P26" s="6"/>
      <c r="W26" s="16"/>
      <c r="X26" s="17"/>
      <c r="Y26" s="16"/>
      <c r="Z26" s="71"/>
      <c r="AA26" s="78"/>
      <c r="AB26" s="71"/>
      <c r="AC26" s="72"/>
      <c r="AD26" s="72"/>
    </row>
    <row r="27" spans="2:34" x14ac:dyDescent="0.3">
      <c r="H27" s="28"/>
      <c r="I27" s="5"/>
      <c r="J27" s="18"/>
      <c r="K27" s="5"/>
      <c r="L27" s="1"/>
      <c r="M27" s="1"/>
      <c r="N27" s="1"/>
      <c r="O27" s="6"/>
      <c r="P27" s="6"/>
      <c r="W27" s="16"/>
      <c r="X27" s="17"/>
      <c r="Y27" s="16"/>
      <c r="Z27" s="71"/>
      <c r="AA27" s="78"/>
      <c r="AB27" s="71"/>
      <c r="AC27" s="72"/>
      <c r="AD27" s="72"/>
    </row>
    <row r="28" spans="2:34" x14ac:dyDescent="0.3">
      <c r="H28" s="28"/>
      <c r="I28" s="5"/>
      <c r="J28" s="18"/>
      <c r="K28" s="5"/>
      <c r="L28" s="1"/>
      <c r="M28" s="1"/>
      <c r="N28" s="1"/>
      <c r="O28" s="6"/>
      <c r="P28" s="6"/>
      <c r="W28" s="16"/>
      <c r="X28" s="17"/>
      <c r="Y28" s="16"/>
      <c r="Z28" s="71"/>
      <c r="AA28" s="78"/>
      <c r="AB28" s="71"/>
      <c r="AC28" s="72"/>
      <c r="AD28" s="72"/>
    </row>
    <row r="29" spans="2:34" x14ac:dyDescent="0.3">
      <c r="H29" s="28"/>
      <c r="I29" s="5"/>
      <c r="J29" s="18"/>
      <c r="K29" s="5"/>
      <c r="L29" s="1"/>
      <c r="M29" s="1"/>
      <c r="N29" s="28"/>
      <c r="W29" s="16"/>
      <c r="X29" s="17"/>
      <c r="Y29" s="16"/>
      <c r="Z29" s="71"/>
      <c r="AA29" s="78"/>
      <c r="AB29" s="71"/>
      <c r="AC29" s="72"/>
      <c r="AD29" s="72"/>
    </row>
    <row r="30" spans="2:34" x14ac:dyDescent="0.3">
      <c r="H30" s="28"/>
      <c r="I30" s="28"/>
      <c r="J30" s="28"/>
      <c r="K30" s="28"/>
      <c r="L30" s="28"/>
      <c r="M30" s="28"/>
      <c r="N30" s="28"/>
      <c r="Z30" s="71"/>
      <c r="AA30" s="78"/>
      <c r="AB30" s="71"/>
      <c r="AC30" s="72"/>
      <c r="AD30" s="72"/>
    </row>
    <row r="31" spans="2:34" x14ac:dyDescent="0.3">
      <c r="H31" s="28"/>
      <c r="I31" s="28"/>
      <c r="J31" s="28"/>
      <c r="K31" s="28"/>
      <c r="L31" s="28"/>
      <c r="M31" s="28"/>
      <c r="N31" s="28"/>
      <c r="Z31" s="71"/>
      <c r="AA31" s="78"/>
      <c r="AB31" s="71"/>
      <c r="AC31" s="72"/>
      <c r="AD31" s="72"/>
    </row>
    <row r="32" spans="2:34" x14ac:dyDescent="0.3">
      <c r="H32" s="28"/>
      <c r="I32" s="28"/>
      <c r="J32" s="28"/>
      <c r="K32" s="28"/>
      <c r="L32" s="28"/>
      <c r="M32" s="28"/>
      <c r="N32" s="28"/>
      <c r="Z32" s="71"/>
      <c r="AA32" s="78"/>
      <c r="AB32" s="71"/>
      <c r="AC32" s="72"/>
      <c r="AD32" s="72"/>
    </row>
    <row r="33" spans="8:30" x14ac:dyDescent="0.3">
      <c r="H33" s="28"/>
      <c r="I33" s="28"/>
      <c r="J33" s="28"/>
      <c r="K33" s="28"/>
      <c r="L33" s="28"/>
      <c r="M33" s="28"/>
      <c r="N33" s="28"/>
      <c r="Z33" s="71"/>
      <c r="AA33" s="78"/>
      <c r="AB33" s="71"/>
      <c r="AC33" s="72"/>
      <c r="AD33" s="72"/>
    </row>
    <row r="34" spans="8:30" x14ac:dyDescent="0.3">
      <c r="H34" s="28"/>
      <c r="I34" s="28"/>
      <c r="J34" s="28"/>
      <c r="K34" s="28"/>
      <c r="L34" s="28"/>
      <c r="M34" s="28"/>
      <c r="N34" s="28"/>
      <c r="Z34" s="71"/>
      <c r="AA34" s="78"/>
      <c r="AB34" s="71"/>
      <c r="AC34" s="72"/>
      <c r="AD34" s="72"/>
    </row>
    <row r="35" spans="8:30" x14ac:dyDescent="0.3">
      <c r="H35" s="28"/>
      <c r="I35" s="28"/>
      <c r="J35" s="28"/>
      <c r="K35" s="28"/>
      <c r="L35" s="28"/>
      <c r="M35" s="28"/>
      <c r="N35" s="28"/>
      <c r="Q35" s="71"/>
      <c r="R35" s="71"/>
      <c r="S35" s="71"/>
      <c r="T35" s="71"/>
      <c r="U35" s="71"/>
      <c r="Z35" s="71"/>
      <c r="AA35" s="78"/>
      <c r="AB35" s="71"/>
      <c r="AC35" s="72"/>
      <c r="AD35" s="72"/>
    </row>
    <row r="36" spans="8:30" x14ac:dyDescent="0.3">
      <c r="Q36" s="71"/>
      <c r="R36" s="72"/>
      <c r="S36" s="71"/>
      <c r="T36" s="74"/>
      <c r="U36" s="72"/>
      <c r="Z36" s="71"/>
      <c r="AA36" s="78"/>
      <c r="AB36" s="71"/>
      <c r="AC36" s="72"/>
      <c r="AD36" s="72"/>
    </row>
    <row r="37" spans="8:30" x14ac:dyDescent="0.3">
      <c r="Q37" s="71"/>
      <c r="R37" s="72"/>
      <c r="S37" s="71"/>
      <c r="T37" s="74"/>
      <c r="U37" s="72"/>
      <c r="Z37" s="71"/>
      <c r="AA37" s="78"/>
      <c r="AB37" s="71"/>
      <c r="AC37" s="72"/>
      <c r="AD37" s="72"/>
    </row>
    <row r="38" spans="8:30" x14ac:dyDescent="0.3">
      <c r="L38" s="69"/>
      <c r="Q38" s="76"/>
      <c r="R38" s="77"/>
      <c r="S38" s="71"/>
      <c r="T38" s="74"/>
      <c r="U38" s="72"/>
      <c r="Z38" s="71"/>
      <c r="AA38" s="78"/>
      <c r="AB38" s="71"/>
      <c r="AC38" s="72"/>
      <c r="AD38" s="72"/>
    </row>
    <row r="39" spans="8:30" x14ac:dyDescent="0.3">
      <c r="L39" s="69"/>
      <c r="Q39" s="76"/>
      <c r="R39" s="77"/>
      <c r="S39" s="71"/>
      <c r="T39" s="74"/>
      <c r="U39" s="72"/>
      <c r="Z39" s="71"/>
      <c r="AA39" s="78"/>
      <c r="AB39" s="71"/>
      <c r="AC39" s="72"/>
      <c r="AD39" s="72"/>
    </row>
    <row r="40" spans="8:30" x14ac:dyDescent="0.3">
      <c r="L40" s="69"/>
      <c r="Q40" s="76"/>
      <c r="R40" s="72"/>
      <c r="S40" s="71"/>
      <c r="T40" s="74"/>
      <c r="U40" s="72"/>
      <c r="Z40" s="71"/>
      <c r="AA40" s="78"/>
      <c r="AB40" s="71"/>
      <c r="AC40" s="72"/>
      <c r="AD40" s="72"/>
    </row>
    <row r="41" spans="8:30" x14ac:dyDescent="0.3">
      <c r="L41" s="69"/>
      <c r="Q41" s="76"/>
      <c r="R41" s="72"/>
      <c r="S41" s="71"/>
      <c r="T41" s="74"/>
      <c r="U41" s="72"/>
      <c r="Z41" s="71"/>
      <c r="AA41" s="78"/>
      <c r="AB41" s="71"/>
      <c r="AC41" s="72"/>
      <c r="AD41" s="72"/>
    </row>
    <row r="42" spans="8:30" x14ac:dyDescent="0.3">
      <c r="L42" s="69"/>
      <c r="Q42" s="71"/>
      <c r="R42" s="72"/>
      <c r="S42" s="71"/>
      <c r="T42" s="74"/>
      <c r="U42" s="72"/>
      <c r="Z42" s="71"/>
      <c r="AA42" s="78"/>
      <c r="AB42" s="71"/>
      <c r="AC42" s="72"/>
      <c r="AD42" s="72"/>
    </row>
    <row r="43" spans="8:30" x14ac:dyDescent="0.3">
      <c r="L43" s="69"/>
      <c r="Q43" s="76"/>
      <c r="R43" s="72"/>
      <c r="S43" s="71"/>
      <c r="T43" s="74"/>
      <c r="U43" s="72"/>
      <c r="Z43" s="71"/>
      <c r="AA43" s="78"/>
      <c r="AB43" s="71"/>
      <c r="AC43" s="72"/>
      <c r="AD43" s="72"/>
    </row>
    <row r="44" spans="8:30" x14ac:dyDescent="0.3">
      <c r="L44" s="69"/>
      <c r="Q44" s="76"/>
      <c r="R44" s="72"/>
      <c r="S44" s="71"/>
      <c r="T44" s="74"/>
      <c r="U44" s="72"/>
      <c r="Z44" s="71"/>
      <c r="AA44" s="78"/>
      <c r="AB44" s="71"/>
      <c r="AC44" s="72"/>
      <c r="AD44" s="72"/>
    </row>
    <row r="45" spans="8:30" x14ac:dyDescent="0.3">
      <c r="L45" s="69"/>
      <c r="Q45" s="76"/>
      <c r="R45" s="72"/>
      <c r="S45" s="71"/>
      <c r="T45" s="74"/>
      <c r="U45" s="72"/>
      <c r="Z45" s="71"/>
      <c r="AA45" s="78"/>
      <c r="AB45" s="71"/>
      <c r="AC45" s="72"/>
      <c r="AD45" s="72"/>
    </row>
    <row r="46" spans="8:30" x14ac:dyDescent="0.3">
      <c r="L46" s="69"/>
      <c r="Q46" s="76"/>
      <c r="R46" s="72"/>
      <c r="S46" s="71"/>
      <c r="T46" s="74"/>
      <c r="U46" s="72"/>
      <c r="Z46" s="71"/>
      <c r="AA46" s="78"/>
      <c r="AB46" s="71"/>
      <c r="AC46" s="72"/>
      <c r="AD46" s="72"/>
    </row>
    <row r="47" spans="8:30" x14ac:dyDescent="0.3">
      <c r="L47" s="69"/>
      <c r="Q47" s="76"/>
      <c r="R47" s="72"/>
      <c r="S47" s="71"/>
      <c r="T47" s="74"/>
      <c r="U47" s="72"/>
      <c r="Z47" s="71"/>
      <c r="AA47" s="78"/>
      <c r="AB47" s="71"/>
      <c r="AC47" s="72"/>
      <c r="AD47" s="72"/>
    </row>
    <row r="48" spans="8:30" x14ac:dyDescent="0.3">
      <c r="L48" s="69"/>
      <c r="Q48" s="76"/>
      <c r="R48" s="72"/>
      <c r="S48" s="71"/>
      <c r="T48" s="74"/>
      <c r="U48" s="72"/>
      <c r="Z48" s="71"/>
      <c r="AA48" s="78"/>
      <c r="AB48" s="71"/>
      <c r="AC48" s="72"/>
      <c r="AD48" s="72"/>
    </row>
    <row r="49" spans="12:30" x14ac:dyDescent="0.3">
      <c r="L49" s="69"/>
      <c r="Q49" s="76"/>
      <c r="R49" s="72"/>
      <c r="S49" s="71"/>
      <c r="T49" s="74"/>
      <c r="U49" s="72"/>
      <c r="Z49" s="71"/>
      <c r="AA49" s="78"/>
      <c r="AB49" s="71"/>
      <c r="AC49" s="72"/>
      <c r="AD49" s="72"/>
    </row>
    <row r="50" spans="12:30" x14ac:dyDescent="0.3">
      <c r="L50" s="69"/>
      <c r="Q50" s="76"/>
      <c r="R50" s="72"/>
      <c r="S50" s="71"/>
      <c r="T50" s="74"/>
      <c r="U50" s="72"/>
      <c r="Z50" s="71"/>
      <c r="AA50" s="78"/>
      <c r="AB50" s="71"/>
      <c r="AC50" s="72"/>
      <c r="AD50" s="72"/>
    </row>
    <row r="51" spans="12:30" x14ac:dyDescent="0.3">
      <c r="L51" s="69"/>
      <c r="Q51" s="76"/>
      <c r="R51" s="72"/>
      <c r="S51" s="71"/>
      <c r="T51" s="74"/>
      <c r="U51" s="72"/>
    </row>
    <row r="52" spans="12:30" x14ac:dyDescent="0.3">
      <c r="L52" s="69"/>
      <c r="Q52" s="76"/>
      <c r="R52" s="72"/>
      <c r="S52" s="71"/>
      <c r="T52" s="74"/>
      <c r="U52" s="72"/>
    </row>
    <row r="53" spans="12:30" x14ac:dyDescent="0.3">
      <c r="L53" s="69"/>
      <c r="Q53" s="76"/>
      <c r="R53" s="72"/>
      <c r="S53" s="71"/>
      <c r="T53" s="74"/>
      <c r="U53" s="72"/>
    </row>
    <row r="54" spans="12:30" x14ac:dyDescent="0.3">
      <c r="L54" s="69"/>
      <c r="Q54" s="76"/>
      <c r="R54" s="72"/>
      <c r="S54" s="71"/>
      <c r="T54" s="74"/>
      <c r="U54" s="72"/>
    </row>
    <row r="55" spans="12:30" x14ac:dyDescent="0.3">
      <c r="L55" s="69"/>
      <c r="Q55" s="76"/>
      <c r="R55" s="72"/>
      <c r="S55" s="71"/>
      <c r="T55" s="74"/>
      <c r="U55" s="72"/>
    </row>
    <row r="56" spans="12:30" x14ac:dyDescent="0.3">
      <c r="L56" s="69"/>
    </row>
    <row r="57" spans="12:30" x14ac:dyDescent="0.3">
      <c r="L57" s="69"/>
    </row>
  </sheetData>
  <mergeCells count="9">
    <mergeCell ref="R38:R39"/>
    <mergeCell ref="F2:G2"/>
    <mergeCell ref="Q48:Q51"/>
    <mergeCell ref="Q52:Q53"/>
    <mergeCell ref="Q54:Q55"/>
    <mergeCell ref="Q40:Q41"/>
    <mergeCell ref="Q43:Q45"/>
    <mergeCell ref="Q46:Q47"/>
    <mergeCell ref="Q38:Q3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4</xdr:col>
                <xdr:colOff>38100</xdr:colOff>
                <xdr:row>19</xdr:row>
                <xdr:rowOff>144780</xdr:rowOff>
              </from>
              <to>
                <xdr:col>5</xdr:col>
                <xdr:colOff>22860</xdr:colOff>
                <xdr:row>21</xdr:row>
                <xdr:rowOff>83820</xdr:rowOff>
              </to>
            </anchor>
          </controlPr>
        </control>
      </mc:Choice>
      <mc:Fallback>
        <control shapeId="2049" r:id="rId3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87210A5-13CD-468E-A6DB-8A7120F1C524}">
          <x14:formula1>
            <xm:f>Sheet4!$A$1:$A$2</xm:f>
          </x14:formula1>
          <xm:sqref>U2 D5</xm:sqref>
        </x14:dataValidation>
        <x14:dataValidation type="list" allowBlank="1" showInputMessage="1" showErrorMessage="1" xr:uid="{38FA6228-F05D-4F5F-820D-10D9FFC19FB0}">
          <x14:formula1>
            <xm:f>Sheet4!$A$7:$A$9</xm:f>
          </x14:formula1>
          <xm:sqref>B3</xm:sqref>
        </x14:dataValidation>
        <x14:dataValidation type="list" allowBlank="1" showInputMessage="1" showErrorMessage="1" prompt="Hammertype" xr:uid="{7197E0AA-2C0A-46A1-B76F-3F92427A7893}">
          <x14:formula1>
            <xm:f>IF($B$3="AASHTO",Sheet4!$A$10:$A$11,IF($B$3="BNBC",Sheet4!$A$12:$A$15,IF($B$3="NBC",Sheet4!$A$16)))</xm:f>
          </x14:formula1>
          <xm:sqref>B5</xm:sqref>
        </x14:dataValidation>
        <x14:dataValidation type="list" allowBlank="1" showInputMessage="1" showErrorMessage="1" xr:uid="{0B99BDB1-F5DC-4106-B7CB-4C42255EDB05}">
          <x14:formula1>
            <xm:f>Sheet4!$A$19:$A$20</xm:f>
          </x14:formula1>
          <xm:sqref>B15</xm:sqref>
        </x14:dataValidation>
        <x14:dataValidation type="list" allowBlank="1" showInputMessage="1" showErrorMessage="1" xr:uid="{2D0C9668-BA25-4841-A60F-C596555DA633}">
          <x14:formula1>
            <xm:f>IF($B$3="BNBC",Sheet4!$A$21:$A$23,IF($B$3="AASHTO",Sheet4!$A$24:$A$25,IF($B$3="NBC",Sheet4!$A$21:$A$22)))</xm:f>
          </x14:formula1>
          <xm:sqref>D3</xm:sqref>
        </x14:dataValidation>
        <x14:dataValidation type="list" allowBlank="1" showInputMessage="1" showErrorMessage="1" xr:uid="{0DAD8299-7C7D-4EE6-BEED-F4D3152753BE}">
          <x14:formula1>
            <xm:f>IF($B$5="donut",Sheet4!$A$17:$A$18,Sheet4!$A$16)</xm:f>
          </x14:formula1>
          <xm:sqref>B11</xm:sqref>
        </x14:dataValidation>
        <x14:dataValidation type="list" allowBlank="1" showInputMessage="1" showErrorMessage="1" xr:uid="{A1A55C88-E5C9-4E54-A742-37C393DD7DEB}">
          <x14:formula1>
            <xm:f>Sheet4!$A$26:$A$27</xm:f>
          </x14:formula1>
          <xm:sqref>E3</xm:sqref>
        </x14:dataValidation>
        <x14:dataValidation type="list" allowBlank="1" showInputMessage="1" showErrorMessage="1" xr:uid="{5D74960C-527C-4936-80B8-5A4BE6C776D4}">
          <x14:formula1>
            <xm:f>Sheet4!$B$10:$B$11</xm:f>
          </x14:formula1>
          <xm:sqref>D7</xm:sqref>
        </x14:dataValidation>
        <x14:dataValidation type="custom" allowBlank="1" showInputMessage="1" showErrorMessage="1" xr:uid="{835BA5B5-2CA1-4A5F-9AAB-AD07475B525D}">
          <x14:formula1>
            <xm:f>IF(Sheet4!B12="reduced level",1,2)</xm:f>
          </x14:formula1>
          <xm:sqref>D12</xm:sqref>
        </x14:dataValidation>
        <x14:dataValidation type="custom" allowBlank="1" showInputMessage="1" showErrorMessage="1" xr:uid="{51B53F87-E2F8-417A-B1DF-E3F2A1DFEE61}">
          <x14:formula1>
            <xm:f>IF(Sheet4!B12="depth",0&lt;=D9,D9&lt;=E6)</xm:f>
          </x14:formula1>
          <xm:sqref>D9</xm:sqref>
        </x14:dataValidation>
        <x14:dataValidation type="custom" allowBlank="1" showInputMessage="1" showErrorMessage="1" xr:uid="{A0D1AF06-A8C7-4CA4-99CC-80D0B648F095}">
          <x14:formula1>
            <xm:f>IF(Sheet4!B12="depth",0&lt;D9,D9&lt;=E6)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67CBC-8C19-4195-AC15-108BDD45ED88}">
  <sheetPr codeName="Sheet3"/>
  <dimension ref="C1:J64"/>
  <sheetViews>
    <sheetView zoomScale="55" workbookViewId="0">
      <selection activeCell="V23" sqref="V23"/>
    </sheetView>
  </sheetViews>
  <sheetFormatPr defaultRowHeight="14.4" x14ac:dyDescent="0.3"/>
  <cols>
    <col min="3" max="3" width="9.5546875" bestFit="1" customWidth="1"/>
    <col min="4" max="4" width="17.21875" customWidth="1"/>
    <col min="5" max="5" width="8.5546875" customWidth="1"/>
    <col min="6" max="6" width="14.109375" customWidth="1"/>
    <col min="7" max="7" width="16.77734375" customWidth="1"/>
    <col min="8" max="8" width="13.21875" customWidth="1"/>
    <col min="9" max="9" width="9" bestFit="1" customWidth="1"/>
    <col min="10" max="10" width="11.6640625" bestFit="1" customWidth="1"/>
  </cols>
  <sheetData>
    <row r="1" spans="3:10" ht="23.4" customHeight="1" x14ac:dyDescent="0.3">
      <c r="D1" s="14"/>
      <c r="E1" s="14"/>
      <c r="F1" s="14"/>
      <c r="G1" s="54" t="str">
        <f>IF(Sheet4!B3="AASHTO",IF(Sheet4!B2="Driven Pile",IF(Sheet4!A28="Displacement Pile","Displacement Pile","Nondisplacement Pile"),""),"")</f>
        <v/>
      </c>
      <c r="H1" s="55"/>
    </row>
    <row r="2" spans="3:10" ht="26.4" customHeight="1" x14ac:dyDescent="0.3">
      <c r="C2" s="6"/>
      <c r="D2" s="53" t="str">
        <f>Sheet4!B3</f>
        <v>AASHTO</v>
      </c>
      <c r="E2" s="53"/>
      <c r="F2" s="53"/>
      <c r="G2" s="56" t="str">
        <f>Sheet4!B2</f>
        <v>Drilled Shaft</v>
      </c>
      <c r="H2" s="57"/>
    </row>
    <row r="3" spans="3:10" ht="31.2" customHeight="1" x14ac:dyDescent="0.3">
      <c r="C3" s="6"/>
      <c r="D3" s="48" t="s">
        <v>45</v>
      </c>
      <c r="E3" s="48" t="s">
        <v>46</v>
      </c>
      <c r="F3" s="48" t="s">
        <v>47</v>
      </c>
      <c r="G3" s="48" t="str">
        <f>IF(Sheet4!B3="BNBC","Capacity (KN)","Capacity (kip)")</f>
        <v>Capacity (kip)</v>
      </c>
      <c r="H3" s="49" t="str">
        <f>IF(Sheet4!B3="BNBC","Uplift Capacity (KN)","Uplift Capacity (Kip)")</f>
        <v>Uplift Capacity (Kip)</v>
      </c>
    </row>
    <row r="4" spans="3:10" x14ac:dyDescent="0.3">
      <c r="C4" s="6"/>
      <c r="D4" s="13">
        <v>5.413386</v>
      </c>
      <c r="E4" s="13" t="s">
        <v>53</v>
      </c>
      <c r="F4" s="13">
        <v>8</v>
      </c>
      <c r="G4" s="7">
        <v>32.697656233653639</v>
      </c>
      <c r="H4" s="7">
        <v>7.4460678275348</v>
      </c>
      <c r="J4" s="27"/>
    </row>
    <row r="5" spans="3:10" x14ac:dyDescent="0.3">
      <c r="C5" s="6"/>
      <c r="D5" s="13">
        <v>10.990814</v>
      </c>
      <c r="E5" s="13" t="s">
        <v>37</v>
      </c>
      <c r="F5" s="13">
        <v>10</v>
      </c>
      <c r="G5" s="7">
        <v>40.664848088442056</v>
      </c>
      <c r="H5" s="7">
        <v>17.621665974219553</v>
      </c>
    </row>
    <row r="6" spans="3:10" x14ac:dyDescent="0.3">
      <c r="C6" s="6"/>
      <c r="D6" s="13">
        <v>15.912073999999999</v>
      </c>
      <c r="E6" s="13" t="s">
        <v>37</v>
      </c>
      <c r="F6" s="13">
        <v>9</v>
      </c>
      <c r="G6" s="7">
        <v>49.206100643577841</v>
      </c>
      <c r="H6" s="7">
        <v>25.702288031880972</v>
      </c>
    </row>
    <row r="7" spans="3:10" x14ac:dyDescent="0.3">
      <c r="C7" s="6"/>
      <c r="D7" s="13">
        <v>20.833333999999997</v>
      </c>
      <c r="E7" s="13" t="s">
        <v>37</v>
      </c>
      <c r="F7" s="13">
        <v>11</v>
      </c>
      <c r="G7" s="7">
        <v>65.600458343617859</v>
      </c>
      <c r="H7" s="7">
        <v>35.578603880133812</v>
      </c>
    </row>
    <row r="8" spans="3:10" x14ac:dyDescent="0.3">
      <c r="C8" s="6"/>
      <c r="D8" s="13">
        <v>25.754593999999997</v>
      </c>
      <c r="E8" s="13" t="s">
        <v>53</v>
      </c>
      <c r="F8" s="13">
        <v>19</v>
      </c>
      <c r="G8" s="7">
        <v>128.92062203544606</v>
      </c>
      <c r="H8" s="7">
        <v>58.165998493801382</v>
      </c>
    </row>
    <row r="9" spans="3:10" x14ac:dyDescent="0.3">
      <c r="C9" s="6"/>
      <c r="D9" s="13">
        <v>30.019686</v>
      </c>
      <c r="E9" s="13" t="s">
        <v>13</v>
      </c>
      <c r="F9" s="13">
        <v>20</v>
      </c>
      <c r="G9" s="7">
        <v>171.47709546694628</v>
      </c>
      <c r="H9" s="7">
        <v>90.571611301392451</v>
      </c>
    </row>
    <row r="10" spans="3:10" x14ac:dyDescent="0.3">
      <c r="C10" s="6"/>
      <c r="D10" s="13">
        <v>34.940946000000004</v>
      </c>
      <c r="E10" s="13" t="s">
        <v>53</v>
      </c>
      <c r="F10" s="13">
        <v>23</v>
      </c>
      <c r="G10" s="7">
        <v>213.87438104347291</v>
      </c>
      <c r="H10" s="7">
        <v>118.02033950036881</v>
      </c>
    </row>
    <row r="11" spans="3:10" x14ac:dyDescent="0.3">
      <c r="C11" s="6"/>
      <c r="D11" s="13">
        <v>41.502625999999999</v>
      </c>
      <c r="E11" s="13" t="s">
        <v>13</v>
      </c>
      <c r="F11" s="13">
        <v>26</v>
      </c>
      <c r="G11" s="7">
        <v>302.08302242365954</v>
      </c>
      <c r="H11" s="7">
        <v>182.95108608415785</v>
      </c>
    </row>
    <row r="12" spans="3:10" x14ac:dyDescent="0.3">
      <c r="C12" s="6"/>
      <c r="D12" s="13">
        <v>46.423886000000003</v>
      </c>
      <c r="E12" s="13" t="s">
        <v>13</v>
      </c>
      <c r="F12" s="13">
        <v>19</v>
      </c>
      <c r="G12" s="7">
        <v>332.47492878219151</v>
      </c>
      <c r="H12" s="7">
        <v>224.71043128659312</v>
      </c>
    </row>
    <row r="13" spans="3:10" x14ac:dyDescent="0.3">
      <c r="C13" s="6"/>
      <c r="D13" s="13">
        <v>52.985565999999992</v>
      </c>
      <c r="E13" s="13" t="s">
        <v>13</v>
      </c>
      <c r="F13" s="13">
        <v>19</v>
      </c>
      <c r="G13" s="7">
        <v>402.04652554111527</v>
      </c>
      <c r="H13" s="7">
        <v>281.63264681662167</v>
      </c>
    </row>
    <row r="14" spans="3:10" x14ac:dyDescent="0.3">
      <c r="C14" s="6"/>
      <c r="D14" s="13">
        <v>59.875329999999998</v>
      </c>
      <c r="E14" s="13" t="s">
        <v>53</v>
      </c>
      <c r="F14" s="13">
        <v>13</v>
      </c>
      <c r="G14" s="7">
        <v>427.75207725813198</v>
      </c>
      <c r="H14" s="7">
        <v>317.14438185781717</v>
      </c>
    </row>
    <row r="15" spans="3:10" x14ac:dyDescent="0.3">
      <c r="C15" s="6"/>
      <c r="D15" s="13">
        <v>66.765094000000005</v>
      </c>
      <c r="E15" s="13" t="s">
        <v>53</v>
      </c>
      <c r="F15" s="13">
        <v>13</v>
      </c>
      <c r="G15" s="7">
        <v>472.32227240177383</v>
      </c>
      <c r="H15" s="7">
        <v>353.61090515716046</v>
      </c>
    </row>
    <row r="16" spans="3:10" x14ac:dyDescent="0.3">
      <c r="C16" s="6"/>
      <c r="D16" s="13">
        <v>72.342522000000002</v>
      </c>
      <c r="E16" s="13" t="s">
        <v>13</v>
      </c>
      <c r="F16" s="13">
        <v>23</v>
      </c>
      <c r="G16" s="7">
        <v>572.05815324875152</v>
      </c>
      <c r="H16" s="7">
        <v>411.07978948650583</v>
      </c>
    </row>
    <row r="17" spans="3:8" x14ac:dyDescent="0.3">
      <c r="C17" s="6"/>
      <c r="D17" s="13">
        <v>78.904201999999998</v>
      </c>
      <c r="E17" s="13" t="s">
        <v>13</v>
      </c>
      <c r="F17" s="13">
        <v>29</v>
      </c>
      <c r="G17" s="7">
        <v>685.37146999592017</v>
      </c>
      <c r="H17" s="7">
        <v>489.31076500691648</v>
      </c>
    </row>
    <row r="18" spans="3:8" x14ac:dyDescent="0.3">
      <c r="C18" s="6"/>
      <c r="D18" s="13">
        <v>85.465882000000008</v>
      </c>
      <c r="E18" s="13" t="s">
        <v>13</v>
      </c>
      <c r="F18" s="13">
        <v>28</v>
      </c>
      <c r="G18" s="7">
        <v>777.89034009646127</v>
      </c>
      <c r="H18" s="7">
        <v>567.42134236190464</v>
      </c>
    </row>
    <row r="19" spans="3:8" x14ac:dyDescent="0.3">
      <c r="C19" s="6"/>
      <c r="D19" s="13">
        <v>92.027562000000003</v>
      </c>
      <c r="E19" s="13" t="s">
        <v>13</v>
      </c>
      <c r="F19" s="13">
        <v>30</v>
      </c>
      <c r="G19" s="7">
        <v>884.68790296457382</v>
      </c>
      <c r="H19" s="7">
        <v>649.97452652672393</v>
      </c>
    </row>
    <row r="20" spans="3:8" x14ac:dyDescent="0.3">
      <c r="C20" s="6"/>
      <c r="D20" s="13">
        <v>98.917325999999989</v>
      </c>
      <c r="E20" s="13" t="s">
        <v>13</v>
      </c>
      <c r="F20" s="13">
        <v>32</v>
      </c>
      <c r="G20" s="7">
        <v>1002.2223300191562</v>
      </c>
      <c r="H20" s="7">
        <v>741.31241775320041</v>
      </c>
    </row>
    <row r="21" spans="3:8" x14ac:dyDescent="0.3">
      <c r="C21" s="6"/>
      <c r="D21" s="13">
        <v>104.82283799999999</v>
      </c>
      <c r="E21" s="13" t="s">
        <v>13</v>
      </c>
      <c r="F21" s="13">
        <v>20</v>
      </c>
      <c r="G21" s="7">
        <v>1042.3185126395392</v>
      </c>
      <c r="H21" s="7">
        <v>803.07822535169555</v>
      </c>
    </row>
    <row r="22" spans="3:8" x14ac:dyDescent="0.3">
      <c r="C22" s="6"/>
      <c r="D22" s="13">
        <v>111.38451800000001</v>
      </c>
      <c r="E22" s="13" t="s">
        <v>37</v>
      </c>
      <c r="F22" s="13">
        <v>43</v>
      </c>
      <c r="G22" s="7">
        <v>1113.0455858855448</v>
      </c>
      <c r="H22" s="7">
        <v>842.16174337054099</v>
      </c>
    </row>
    <row r="23" spans="3:8" x14ac:dyDescent="0.3">
      <c r="C23" s="6"/>
      <c r="D23" s="13">
        <v>117.94619800000001</v>
      </c>
      <c r="E23" s="13" t="s">
        <v>37</v>
      </c>
      <c r="F23" s="13">
        <v>50</v>
      </c>
      <c r="G23" s="7">
        <v>1177.98001872963</v>
      </c>
      <c r="H23" s="7">
        <v>882.60432286804996</v>
      </c>
    </row>
    <row r="24" spans="3:8" x14ac:dyDescent="0.3">
      <c r="C24" s="6"/>
      <c r="D24" s="13"/>
      <c r="E24" s="13"/>
      <c r="F24" s="13"/>
      <c r="G24" s="7"/>
      <c r="H24" s="7"/>
    </row>
    <row r="25" spans="3:8" x14ac:dyDescent="0.3">
      <c r="C25" s="6"/>
      <c r="D25" s="13"/>
      <c r="E25" s="13"/>
      <c r="F25" s="13"/>
      <c r="G25" s="7"/>
      <c r="H25" s="7"/>
    </row>
    <row r="26" spans="3:8" x14ac:dyDescent="0.3">
      <c r="C26" s="6"/>
      <c r="D26" s="13"/>
      <c r="E26" s="13"/>
      <c r="F26" s="13"/>
      <c r="G26" s="7"/>
      <c r="H26" s="7"/>
    </row>
    <row r="27" spans="3:8" x14ac:dyDescent="0.3">
      <c r="C27" s="6"/>
      <c r="D27" s="13"/>
      <c r="E27" s="13"/>
      <c r="F27" s="13"/>
      <c r="G27" s="7"/>
      <c r="H27" s="7"/>
    </row>
    <row r="28" spans="3:8" x14ac:dyDescent="0.3">
      <c r="C28" s="6"/>
      <c r="D28" s="13"/>
      <c r="E28" s="13"/>
      <c r="F28" s="13"/>
      <c r="G28" s="7"/>
      <c r="H28" s="7"/>
    </row>
    <row r="29" spans="3:8" x14ac:dyDescent="0.3">
      <c r="C29" s="6"/>
      <c r="D29" s="13"/>
      <c r="E29" s="13"/>
      <c r="F29" s="13"/>
      <c r="G29" s="7"/>
      <c r="H29" s="7"/>
    </row>
    <row r="30" spans="3:8" x14ac:dyDescent="0.3">
      <c r="D30" s="13"/>
      <c r="E30" s="13"/>
      <c r="F30" s="28"/>
      <c r="G30" s="7"/>
      <c r="H30" s="7"/>
    </row>
    <row r="31" spans="3:8" x14ac:dyDescent="0.3">
      <c r="D31" s="28"/>
      <c r="E31" s="28"/>
      <c r="F31" s="28"/>
      <c r="G31" s="28"/>
      <c r="H31" s="28"/>
    </row>
    <row r="32" spans="3:8" x14ac:dyDescent="0.3">
      <c r="D32" s="28"/>
      <c r="E32" s="28"/>
      <c r="F32" s="28"/>
      <c r="G32" s="28"/>
      <c r="H32" s="28"/>
    </row>
    <row r="33" spans="4:8" x14ac:dyDescent="0.3">
      <c r="D33" s="28"/>
      <c r="E33" s="28"/>
      <c r="F33" s="28"/>
      <c r="G33" s="28"/>
      <c r="H33" s="28"/>
    </row>
    <row r="34" spans="4:8" x14ac:dyDescent="0.3">
      <c r="D34" s="28"/>
      <c r="E34" s="28"/>
      <c r="F34" s="28"/>
      <c r="G34" s="28"/>
      <c r="H34" s="28"/>
    </row>
    <row r="35" spans="4:8" x14ac:dyDescent="0.3">
      <c r="D35" s="28"/>
      <c r="E35" s="28"/>
      <c r="F35" s="28"/>
      <c r="G35" s="28"/>
      <c r="H35" s="28"/>
    </row>
    <row r="36" spans="4:8" x14ac:dyDescent="0.3">
      <c r="D36" s="28"/>
      <c r="E36" s="28"/>
      <c r="F36" s="28"/>
      <c r="G36" s="28"/>
      <c r="H36" s="28"/>
    </row>
    <row r="37" spans="4:8" x14ac:dyDescent="0.3">
      <c r="D37" s="28"/>
      <c r="E37" s="28"/>
      <c r="F37" s="28"/>
      <c r="G37" s="28"/>
      <c r="H37" s="28"/>
    </row>
    <row r="38" spans="4:8" x14ac:dyDescent="0.3">
      <c r="D38" s="28"/>
      <c r="E38" s="28"/>
      <c r="F38" s="28"/>
      <c r="G38" s="28"/>
      <c r="H38" s="28"/>
    </row>
    <row r="39" spans="4:8" x14ac:dyDescent="0.3">
      <c r="D39" s="28"/>
      <c r="E39" s="28"/>
      <c r="F39" s="28"/>
      <c r="G39" s="28"/>
      <c r="H39" s="28"/>
    </row>
    <row r="40" spans="4:8" x14ac:dyDescent="0.3">
      <c r="D40" s="28"/>
      <c r="E40" s="28"/>
      <c r="F40" s="28"/>
      <c r="G40" s="28"/>
      <c r="H40" s="28"/>
    </row>
    <row r="41" spans="4:8" x14ac:dyDescent="0.3">
      <c r="D41" s="28"/>
      <c r="E41" s="28"/>
      <c r="F41" s="28"/>
      <c r="G41" s="28"/>
      <c r="H41" s="28"/>
    </row>
    <row r="42" spans="4:8" x14ac:dyDescent="0.3">
      <c r="D42" s="28"/>
      <c r="E42" s="28"/>
      <c r="F42" s="28"/>
      <c r="G42" s="28"/>
      <c r="H42" s="28"/>
    </row>
    <row r="43" spans="4:8" x14ac:dyDescent="0.3">
      <c r="D43" s="28"/>
      <c r="E43" s="28"/>
      <c r="F43" s="28"/>
      <c r="G43" s="28"/>
      <c r="H43" s="28"/>
    </row>
    <row r="44" spans="4:8" x14ac:dyDescent="0.3">
      <c r="D44" s="28"/>
      <c r="E44" s="28"/>
      <c r="F44" s="28"/>
      <c r="G44" s="28"/>
      <c r="H44" s="28"/>
    </row>
    <row r="45" spans="4:8" x14ac:dyDescent="0.3">
      <c r="D45" s="28"/>
      <c r="E45" s="28"/>
      <c r="F45" s="28"/>
      <c r="G45" s="28"/>
      <c r="H45" s="28"/>
    </row>
    <row r="46" spans="4:8" x14ac:dyDescent="0.3">
      <c r="D46" s="28"/>
      <c r="E46" s="28"/>
      <c r="F46" s="28"/>
      <c r="G46" s="28"/>
      <c r="H46" s="28"/>
    </row>
    <row r="47" spans="4:8" x14ac:dyDescent="0.3">
      <c r="D47" s="28"/>
      <c r="E47" s="28"/>
      <c r="F47" s="28"/>
      <c r="G47" s="28"/>
      <c r="H47" s="28"/>
    </row>
    <row r="48" spans="4:8" x14ac:dyDescent="0.3">
      <c r="D48" s="28"/>
      <c r="E48" s="28"/>
      <c r="F48" s="28"/>
      <c r="G48" s="28"/>
      <c r="H48" s="28"/>
    </row>
    <row r="49" spans="4:8" x14ac:dyDescent="0.3">
      <c r="D49" s="28"/>
      <c r="E49" s="28"/>
      <c r="F49" s="28"/>
      <c r="G49" s="28"/>
      <c r="H49" s="28"/>
    </row>
    <row r="50" spans="4:8" x14ac:dyDescent="0.3">
      <c r="D50" s="28"/>
      <c r="E50" s="28"/>
      <c r="F50" s="28"/>
      <c r="G50" s="28"/>
      <c r="H50" s="28"/>
    </row>
    <row r="51" spans="4:8" x14ac:dyDescent="0.3">
      <c r="D51" s="28"/>
      <c r="E51" s="28"/>
      <c r="F51" s="28"/>
      <c r="G51" s="28"/>
      <c r="H51" s="28"/>
    </row>
    <row r="52" spans="4:8" x14ac:dyDescent="0.3">
      <c r="D52" s="28"/>
      <c r="E52" s="28"/>
      <c r="F52" s="28"/>
      <c r="G52" s="28"/>
      <c r="H52" s="28"/>
    </row>
    <row r="53" spans="4:8" x14ac:dyDescent="0.3">
      <c r="D53" s="28"/>
      <c r="E53" s="28"/>
      <c r="F53" s="28"/>
      <c r="G53" s="28"/>
      <c r="H53" s="28"/>
    </row>
    <row r="54" spans="4:8" x14ac:dyDescent="0.3">
      <c r="D54" s="28"/>
      <c r="E54" s="28"/>
      <c r="F54" s="28"/>
      <c r="G54" s="28"/>
      <c r="H54" s="28"/>
    </row>
    <row r="55" spans="4:8" x14ac:dyDescent="0.3">
      <c r="D55" s="28"/>
      <c r="E55" s="28"/>
      <c r="F55" s="28"/>
      <c r="G55" s="28"/>
      <c r="H55" s="28"/>
    </row>
    <row r="56" spans="4:8" x14ac:dyDescent="0.3">
      <c r="D56" s="28"/>
      <c r="E56" s="28"/>
      <c r="F56" s="28"/>
      <c r="G56" s="28"/>
      <c r="H56" s="28"/>
    </row>
    <row r="57" spans="4:8" x14ac:dyDescent="0.3">
      <c r="D57" s="28"/>
      <c r="E57" s="28"/>
      <c r="F57" s="28"/>
      <c r="G57" s="28"/>
      <c r="H57" s="28"/>
    </row>
    <row r="58" spans="4:8" x14ac:dyDescent="0.3">
      <c r="D58" s="28"/>
      <c r="E58" s="28"/>
      <c r="F58" s="28"/>
      <c r="G58" s="28"/>
      <c r="H58" s="28"/>
    </row>
    <row r="59" spans="4:8" x14ac:dyDescent="0.3">
      <c r="D59" s="28"/>
      <c r="E59" s="28"/>
      <c r="F59" s="28"/>
      <c r="G59" s="28"/>
      <c r="H59" s="28"/>
    </row>
    <row r="60" spans="4:8" x14ac:dyDescent="0.3">
      <c r="D60" s="28"/>
      <c r="E60" s="28"/>
      <c r="F60" s="28"/>
      <c r="G60" s="28"/>
      <c r="H60" s="28"/>
    </row>
    <row r="61" spans="4:8" x14ac:dyDescent="0.3">
      <c r="D61" s="28"/>
      <c r="E61" s="28"/>
      <c r="F61" s="28"/>
      <c r="G61" s="28"/>
    </row>
    <row r="62" spans="4:8" x14ac:dyDescent="0.3">
      <c r="D62" s="28"/>
      <c r="E62" s="28"/>
      <c r="F62" s="28"/>
      <c r="G62" s="28"/>
    </row>
    <row r="63" spans="4:8" x14ac:dyDescent="0.3">
      <c r="D63" s="28"/>
      <c r="E63" s="28"/>
      <c r="F63" s="28"/>
      <c r="G63" s="28"/>
    </row>
    <row r="64" spans="4:8" x14ac:dyDescent="0.3">
      <c r="D64" s="28"/>
      <c r="E64" s="28"/>
      <c r="F64" s="28"/>
      <c r="G64" s="28"/>
    </row>
  </sheetData>
  <mergeCells count="3">
    <mergeCell ref="D2:F2"/>
    <mergeCell ref="G1:H1"/>
    <mergeCell ref="G2:H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46EE8-8AC5-49FA-8DF0-9627B6C82850}">
  <sheetPr codeName="Sheet4"/>
  <dimension ref="A1:Y56"/>
  <sheetViews>
    <sheetView zoomScale="105" workbookViewId="0">
      <selection activeCell="B13" sqref="B13"/>
    </sheetView>
  </sheetViews>
  <sheetFormatPr defaultRowHeight="14.4" x14ac:dyDescent="0.3"/>
  <cols>
    <col min="1" max="1" width="18.109375" customWidth="1"/>
    <col min="2" max="2" width="11.21875" customWidth="1"/>
  </cols>
  <sheetData>
    <row r="1" spans="1:25" x14ac:dyDescent="0.3">
      <c r="A1" s="6" t="s">
        <v>0</v>
      </c>
      <c r="B1">
        <f>IF(Sheet1!D5="circular",1,2)</f>
        <v>1</v>
      </c>
    </row>
    <row r="2" spans="1:25" x14ac:dyDescent="0.3">
      <c r="A2" s="6" t="str">
        <f>IF(B3="BNBC",IF(B2="Bored Pile","","rectangular"),"rectangular")</f>
        <v>rectangular</v>
      </c>
      <c r="B2" t="str">
        <f>IF(Sheet1!D3="Driven Pile","Driven Pile",IF(Sheet1!D3="Bored Pile","Bored Pile",IF(Sheet1!D3="Drilled Shaft","Drilled Shaft")))</f>
        <v>Drilled Shaft</v>
      </c>
    </row>
    <row r="3" spans="1:25" x14ac:dyDescent="0.3">
      <c r="A3" s="6" t="s">
        <v>8</v>
      </c>
      <c r="B3" t="str">
        <f>IF(Sheet1!B3="AASHTO","AASHTO",IF(Sheet1!B3="BNBC","BNBC",IF(Sheet1!B3="NBC","NBC")))</f>
        <v>AASHTO</v>
      </c>
      <c r="C3" t="str">
        <f>B3</f>
        <v>AASHTO</v>
      </c>
      <c r="V3" t="s">
        <v>12</v>
      </c>
      <c r="W3" t="s">
        <v>38</v>
      </c>
    </row>
    <row r="4" spans="1:25" x14ac:dyDescent="0.3">
      <c r="A4" s="6" t="s">
        <v>9</v>
      </c>
      <c r="B4">
        <f>IF(Sheet1!B5="Automatic",0.7,IF(Sheet1!B5="Donut",IF(Sheet1!B11="Hand dropped",0.6,0.5),IF(Sheet1!B5="safety",0.55,IF(Sheet1!B5="drop/pin",0.45))))</f>
        <v>0.6</v>
      </c>
      <c r="H4">
        <v>0</v>
      </c>
      <c r="I4">
        <v>0</v>
      </c>
      <c r="J4">
        <f>-0.0005*H4^3+0.0192*H4^2+0.72*H4</f>
        <v>0</v>
      </c>
      <c r="V4">
        <v>1</v>
      </c>
      <c r="W4">
        <v>1</v>
      </c>
    </row>
    <row r="5" spans="1:25" x14ac:dyDescent="0.3">
      <c r="A5" s="6">
        <f>IF(C15=60,60,80)</f>
        <v>80</v>
      </c>
      <c r="B5">
        <f>IF(Sheet1!B13&lt;115,1,IF(Sheet1!B13&lt;150,1.05,1.15))</f>
        <v>1</v>
      </c>
      <c r="H5">
        <v>12.5</v>
      </c>
      <c r="I5">
        <v>11</v>
      </c>
      <c r="J5">
        <f t="shared" ref="J5:J7" si="0">-0.0005*H5^3+0.0192*H5^2+0.72*H5</f>
        <v>11.0234375</v>
      </c>
      <c r="V5">
        <v>1.5</v>
      </c>
      <c r="W5">
        <v>1</v>
      </c>
      <c r="X5">
        <f>0.266*V5^3-1.8*V5^2+3.733*V5-1.45</f>
        <v>0.99725000000000041</v>
      </c>
      <c r="Y5">
        <f>-0.18*V5+1.28</f>
        <v>1.01</v>
      </c>
    </row>
    <row r="6" spans="1:25" x14ac:dyDescent="0.3">
      <c r="A6" s="6"/>
      <c r="B6">
        <f>IF(Sheet1!B15="Standard sampler",1,1.2)</f>
        <v>1</v>
      </c>
      <c r="H6">
        <v>25</v>
      </c>
      <c r="I6">
        <v>22</v>
      </c>
      <c r="J6">
        <f t="shared" si="0"/>
        <v>22.1875</v>
      </c>
      <c r="V6">
        <v>2</v>
      </c>
      <c r="W6">
        <v>0.95</v>
      </c>
      <c r="X6">
        <f t="shared" ref="X6:X8" si="1">0.266*V6^3-1.8*V6^2+3.733*V6-1.45</f>
        <v>0.94400000000000017</v>
      </c>
      <c r="Y6">
        <f t="shared" ref="Y6:Y8" si="2">-0.18*V6+1.28</f>
        <v>0.92</v>
      </c>
    </row>
    <row r="7" spans="1:25" x14ac:dyDescent="0.3">
      <c r="A7" s="6" t="s">
        <v>16</v>
      </c>
      <c r="B7">
        <f>IF(Sheet1!B17&lt;4,0.75,IF(Sheet1!B17&lt;6,0.85,IF(Sheet1!B17&lt;10,0.95,1)))</f>
        <v>0.85</v>
      </c>
      <c r="H7">
        <v>37.5</v>
      </c>
      <c r="I7">
        <v>27</v>
      </c>
      <c r="J7">
        <f t="shared" si="0"/>
        <v>27.632812499999996</v>
      </c>
      <c r="V7">
        <v>2.5</v>
      </c>
      <c r="W7">
        <v>0.8</v>
      </c>
      <c r="X7">
        <f t="shared" si="1"/>
        <v>0.78874999999999962</v>
      </c>
      <c r="Y7">
        <f t="shared" si="2"/>
        <v>0.83000000000000007</v>
      </c>
    </row>
    <row r="8" spans="1:25" x14ac:dyDescent="0.3">
      <c r="A8" s="6" t="s">
        <v>15</v>
      </c>
      <c r="B8">
        <f>COUNTA(Sheet1!M4:M54)</f>
        <v>20</v>
      </c>
      <c r="H8">
        <v>37.5</v>
      </c>
      <c r="I8">
        <v>27</v>
      </c>
      <c r="J8">
        <f>-0.0026*H8^2+0.4894*H8+12.307</f>
        <v>27.003250000000001</v>
      </c>
      <c r="V8">
        <v>3</v>
      </c>
      <c r="W8">
        <v>0.75</v>
      </c>
      <c r="X8">
        <f t="shared" si="1"/>
        <v>0.73100000000000098</v>
      </c>
      <c r="Y8">
        <f t="shared" si="2"/>
        <v>0.74</v>
      </c>
    </row>
    <row r="9" spans="1:25" x14ac:dyDescent="0.3">
      <c r="A9" s="6" t="s">
        <v>21</v>
      </c>
      <c r="B9">
        <f>Sheet1!F4</f>
        <v>26</v>
      </c>
      <c r="H9">
        <v>50</v>
      </c>
      <c r="I9">
        <v>30</v>
      </c>
      <c r="J9">
        <f t="shared" ref="J9:J12" si="3">-0.0026*H9^2+0.4894*H9+12.307</f>
        <v>30.277000000000001</v>
      </c>
    </row>
    <row r="10" spans="1:25" x14ac:dyDescent="0.3">
      <c r="A10" s="6" t="s">
        <v>23</v>
      </c>
      <c r="B10" t="s">
        <v>56</v>
      </c>
      <c r="H10">
        <v>62.5</v>
      </c>
      <c r="I10">
        <v>33</v>
      </c>
      <c r="J10">
        <f t="shared" si="3"/>
        <v>32.738250000000001</v>
      </c>
      <c r="V10">
        <v>0</v>
      </c>
      <c r="W10">
        <v>1</v>
      </c>
    </row>
    <row r="11" spans="1:25" x14ac:dyDescent="0.3">
      <c r="A11" s="6" t="s">
        <v>24</v>
      </c>
      <c r="B11" t="s">
        <v>57</v>
      </c>
      <c r="H11">
        <v>75</v>
      </c>
      <c r="I11">
        <v>34</v>
      </c>
      <c r="J11">
        <f t="shared" si="3"/>
        <v>34.387</v>
      </c>
      <c r="V11">
        <v>0.5</v>
      </c>
      <c r="W11">
        <v>1</v>
      </c>
      <c r="X11">
        <f>0.0481*V11^3-0.2778*V11^2+0.2205*V11+0.9533</f>
        <v>1.0001125</v>
      </c>
    </row>
    <row r="12" spans="1:25" x14ac:dyDescent="0.3">
      <c r="A12" s="6" t="s">
        <v>23</v>
      </c>
      <c r="B12" t="str">
        <f>Sheet1!D7</f>
        <v>depth</v>
      </c>
      <c r="H12">
        <v>87.5</v>
      </c>
      <c r="I12">
        <v>35</v>
      </c>
      <c r="J12">
        <f t="shared" si="3"/>
        <v>35.22325</v>
      </c>
      <c r="V12">
        <v>1</v>
      </c>
      <c r="W12">
        <v>0.95</v>
      </c>
      <c r="X12">
        <f t="shared" ref="X12:X16" si="4">0.0481*V12^3-0.2778*V12^2+0.2205*V12+0.9533</f>
        <v>0.94410000000000005</v>
      </c>
    </row>
    <row r="13" spans="1:25" x14ac:dyDescent="0.3">
      <c r="A13" s="6" t="s">
        <v>25</v>
      </c>
      <c r="H13">
        <v>100</v>
      </c>
      <c r="I13">
        <v>35</v>
      </c>
      <c r="J13">
        <f>-0.0026*H13^2+0.4894*H13+12.307</f>
        <v>35.247</v>
      </c>
      <c r="V13">
        <v>1.5</v>
      </c>
      <c r="W13">
        <v>0.8</v>
      </c>
      <c r="X13">
        <f t="shared" si="4"/>
        <v>0.82133750000000005</v>
      </c>
    </row>
    <row r="14" spans="1:25" x14ac:dyDescent="0.3">
      <c r="A14" s="6" t="s">
        <v>26</v>
      </c>
      <c r="V14">
        <v>2</v>
      </c>
      <c r="W14">
        <v>0.7</v>
      </c>
      <c r="X14">
        <f t="shared" si="4"/>
        <v>0.66790000000000016</v>
      </c>
    </row>
    <row r="15" spans="1:25" x14ac:dyDescent="0.3">
      <c r="A15" s="6" t="s">
        <v>27</v>
      </c>
      <c r="C15">
        <f>IF(Sheet1!B5="Manual",60,80)</f>
        <v>80</v>
      </c>
      <c r="V15">
        <v>2.5</v>
      </c>
      <c r="W15">
        <v>0.5</v>
      </c>
      <c r="X15">
        <f t="shared" si="4"/>
        <v>0.51986250000000012</v>
      </c>
    </row>
    <row r="16" spans="1:25" x14ac:dyDescent="0.3">
      <c r="A16" s="6" t="s">
        <v>28</v>
      </c>
      <c r="V16">
        <v>3</v>
      </c>
      <c r="W16">
        <v>0.42</v>
      </c>
      <c r="X16">
        <f t="shared" si="4"/>
        <v>0.4133</v>
      </c>
    </row>
    <row r="17" spans="1:24" x14ac:dyDescent="0.3">
      <c r="A17" s="6" t="s">
        <v>29</v>
      </c>
      <c r="V17">
        <v>3.5</v>
      </c>
      <c r="W17">
        <v>0.42</v>
      </c>
    </row>
    <row r="18" spans="1:24" x14ac:dyDescent="0.3">
      <c r="A18" s="6" t="s">
        <v>30</v>
      </c>
      <c r="V18">
        <v>4</v>
      </c>
      <c r="W18">
        <v>0.42</v>
      </c>
    </row>
    <row r="19" spans="1:24" x14ac:dyDescent="0.3">
      <c r="A19" s="6" t="s">
        <v>31</v>
      </c>
    </row>
    <row r="20" spans="1:24" x14ac:dyDescent="0.3">
      <c r="A20" s="6" t="s">
        <v>32</v>
      </c>
      <c r="V20">
        <v>0.5</v>
      </c>
      <c r="W20">
        <v>0.875</v>
      </c>
      <c r="X20">
        <f>-0.0101*V20^3+0.0803*V20^2-0.2604*V20+0.9701</f>
        <v>0.85871249999999999</v>
      </c>
    </row>
    <row r="21" spans="1:24" x14ac:dyDescent="0.3">
      <c r="A21" s="6" t="s">
        <v>10</v>
      </c>
      <c r="V21">
        <v>1</v>
      </c>
      <c r="W21">
        <v>0.75</v>
      </c>
      <c r="X21">
        <f t="shared" ref="X21:X28" si="5">-0.0101*V21^3+0.0803*V21^2-0.2604*V21+0.9701</f>
        <v>0.77989999999999993</v>
      </c>
    </row>
    <row r="22" spans="1:24" x14ac:dyDescent="0.3">
      <c r="A22" s="6" t="str">
        <f>IF(B9&lt;23.667,"Bored Pile","Drilled Shaft")</f>
        <v>Drilled Shaft</v>
      </c>
      <c r="V22">
        <v>1.5</v>
      </c>
      <c r="W22">
        <v>0.72499999999999998</v>
      </c>
      <c r="X22">
        <f t="shared" si="5"/>
        <v>0.72608749999999989</v>
      </c>
    </row>
    <row r="23" spans="1:24" x14ac:dyDescent="0.3">
      <c r="A23" s="6"/>
      <c r="V23">
        <v>4.34</v>
      </c>
      <c r="W23">
        <v>0.7</v>
      </c>
      <c r="X23">
        <f t="shared" si="5"/>
        <v>0.52682298959999996</v>
      </c>
    </row>
    <row r="24" spans="1:24" x14ac:dyDescent="0.3">
      <c r="A24" s="6" t="s">
        <v>10</v>
      </c>
      <c r="E24">
        <v>0</v>
      </c>
      <c r="F24">
        <v>1</v>
      </c>
      <c r="V24">
        <v>2.5</v>
      </c>
      <c r="W24">
        <v>0.67500000000000004</v>
      </c>
      <c r="X24">
        <f t="shared" si="5"/>
        <v>0.66316249999999988</v>
      </c>
    </row>
    <row r="25" spans="1:24" x14ac:dyDescent="0.3">
      <c r="A25" s="6" t="s">
        <v>34</v>
      </c>
      <c r="E25">
        <v>30</v>
      </c>
      <c r="F25">
        <v>1</v>
      </c>
      <c r="G25">
        <f>6*(10^-5)*E25^2-0.0157*E25+1.3866</f>
        <v>0.96960000000000002</v>
      </c>
      <c r="I25">
        <f>-7*10^-7*E25^3+0.0002*E25^2-0.0297*E25+1.6835</f>
        <v>0.9536</v>
      </c>
      <c r="V25">
        <v>3</v>
      </c>
      <c r="W25">
        <v>0.65</v>
      </c>
      <c r="X25">
        <f t="shared" si="5"/>
        <v>0.6388999999999998</v>
      </c>
    </row>
    <row r="26" spans="1:24" x14ac:dyDescent="0.3">
      <c r="A26" s="6" t="s">
        <v>50</v>
      </c>
      <c r="E26">
        <v>50</v>
      </c>
      <c r="F26">
        <v>0.7</v>
      </c>
      <c r="G26">
        <f t="shared" ref="G26:G29" si="6">6*(10^-5)*E26^2-0.0157*E26+1.3866</f>
        <v>0.75160000000000016</v>
      </c>
      <c r="I26">
        <f t="shared" ref="I26:I29" si="7">-7*10^-7*E26^3+0.0002*E26^2-0.0297*E26+1.6835</f>
        <v>0.61099999999999977</v>
      </c>
      <c r="V26">
        <v>3.5</v>
      </c>
      <c r="W26">
        <v>0.6</v>
      </c>
      <c r="X26">
        <f t="shared" si="5"/>
        <v>0.60933749999999987</v>
      </c>
    </row>
    <row r="27" spans="1:24" x14ac:dyDescent="0.3">
      <c r="A27" s="6" t="s">
        <v>51</v>
      </c>
      <c r="E27">
        <v>75</v>
      </c>
      <c r="F27">
        <v>0.56000000000000005</v>
      </c>
      <c r="G27">
        <f t="shared" si="6"/>
        <v>0.54660000000000009</v>
      </c>
      <c r="I27">
        <f t="shared" si="7"/>
        <v>0.28568749999999987</v>
      </c>
      <c r="V27">
        <v>4.34</v>
      </c>
      <c r="W27">
        <v>0.55000000000000004</v>
      </c>
      <c r="X27">
        <f t="shared" si="5"/>
        <v>0.52682298959999996</v>
      </c>
    </row>
    <row r="28" spans="1:24" x14ac:dyDescent="0.3">
      <c r="A28" s="6" t="str">
        <f>IF(Sheet1!E3="Displacement Pile","Displacement Pile","Nondisplacement Pile")</f>
        <v>Displacement Pile</v>
      </c>
      <c r="E28">
        <v>100</v>
      </c>
      <c r="F28">
        <v>0.45</v>
      </c>
      <c r="G28">
        <f t="shared" si="6"/>
        <v>0.4166000000000003</v>
      </c>
      <c r="I28">
        <f t="shared" si="7"/>
        <v>1.3499999999999845E-2</v>
      </c>
      <c r="V28">
        <v>4.5</v>
      </c>
      <c r="W28">
        <v>0.52</v>
      </c>
      <c r="X28">
        <f t="shared" si="5"/>
        <v>0.50401249999999975</v>
      </c>
    </row>
    <row r="29" spans="1:24" x14ac:dyDescent="0.3">
      <c r="A29" s="6"/>
      <c r="E29">
        <v>150</v>
      </c>
      <c r="F29">
        <v>0.4</v>
      </c>
      <c r="G29">
        <f t="shared" si="6"/>
        <v>0.38160000000000016</v>
      </c>
      <c r="H29">
        <f>5*10^-6*E29^2-0.0027*E29+0.6935</f>
        <v>0.40099999999999997</v>
      </c>
      <c r="I29">
        <f t="shared" si="7"/>
        <v>-0.6339999999999999</v>
      </c>
    </row>
    <row r="30" spans="1:24" x14ac:dyDescent="0.3">
      <c r="A30" s="6"/>
      <c r="E30">
        <v>200</v>
      </c>
      <c r="F30">
        <v>0.35</v>
      </c>
      <c r="H30">
        <f t="shared" ref="H30:H32" si="8">5*10^-6*E30^2-0.0027*E30+0.6935</f>
        <v>0.35349999999999993</v>
      </c>
    </row>
    <row r="31" spans="1:24" x14ac:dyDescent="0.3">
      <c r="A31" s="6"/>
      <c r="E31">
        <v>250</v>
      </c>
      <c r="F31">
        <v>0.33</v>
      </c>
      <c r="H31">
        <f t="shared" si="8"/>
        <v>0.33099999999999996</v>
      </c>
      <c r="V31">
        <v>0.5</v>
      </c>
      <c r="W31">
        <v>0.5</v>
      </c>
      <c r="X31">
        <f>0.0286*V31^2-0.2097*V31+0.594</f>
        <v>0.49629999999999996</v>
      </c>
    </row>
    <row r="32" spans="1:24" x14ac:dyDescent="0.3">
      <c r="A32" s="6"/>
      <c r="E32">
        <v>300</v>
      </c>
      <c r="F32">
        <v>0.33</v>
      </c>
      <c r="H32">
        <f t="shared" si="8"/>
        <v>0.33349999999999991</v>
      </c>
      <c r="V32">
        <v>1</v>
      </c>
      <c r="W32">
        <v>0.4</v>
      </c>
      <c r="X32">
        <f t="shared" ref="X32:X35" si="9">0.0286*V32^2-0.2097*V32+0.594</f>
        <v>0.41289999999999999</v>
      </c>
    </row>
    <row r="33" spans="1:24" x14ac:dyDescent="0.3">
      <c r="A33" s="6"/>
      <c r="V33">
        <v>1.5</v>
      </c>
      <c r="W33">
        <v>0.36</v>
      </c>
      <c r="X33">
        <f t="shared" si="9"/>
        <v>0.34379999999999999</v>
      </c>
    </row>
    <row r="34" spans="1:24" x14ac:dyDescent="0.3">
      <c r="V34">
        <v>2</v>
      </c>
      <c r="W34">
        <v>0.28000000000000003</v>
      </c>
      <c r="X34">
        <f t="shared" si="9"/>
        <v>0.28899999999999998</v>
      </c>
    </row>
    <row r="35" spans="1:24" x14ac:dyDescent="0.3">
      <c r="V35">
        <v>2.5</v>
      </c>
      <c r="W35">
        <v>0.25</v>
      </c>
      <c r="X35">
        <f t="shared" si="9"/>
        <v>0.24849999999999994</v>
      </c>
    </row>
    <row r="37" spans="1:24" x14ac:dyDescent="0.3">
      <c r="V37">
        <v>3.5</v>
      </c>
    </row>
    <row r="38" spans="1:24" x14ac:dyDescent="0.3">
      <c r="V38">
        <v>4</v>
      </c>
    </row>
    <row r="39" spans="1:24" x14ac:dyDescent="0.3">
      <c r="V39">
        <v>4.5</v>
      </c>
    </row>
    <row r="41" spans="1:24" x14ac:dyDescent="0.3">
      <c r="V41">
        <v>1.5</v>
      </c>
      <c r="W41">
        <v>1</v>
      </c>
      <c r="X41">
        <f>0.0567*V41^3-0.435*V41^2+0.739*V41+0.6793</f>
        <v>1.0004124999999999</v>
      </c>
    </row>
    <row r="42" spans="1:24" x14ac:dyDescent="0.3">
      <c r="V42">
        <v>2</v>
      </c>
      <c r="W42">
        <v>0.87</v>
      </c>
      <c r="X42">
        <f t="shared" ref="X42:X46" si="10">0.0567*V42^3-0.435*V42^2+0.739*V42+0.6793</f>
        <v>0.87090000000000001</v>
      </c>
    </row>
    <row r="43" spans="1:24" x14ac:dyDescent="0.3">
      <c r="V43">
        <v>2.5</v>
      </c>
      <c r="W43">
        <v>0.7</v>
      </c>
      <c r="X43">
        <f t="shared" si="10"/>
        <v>0.69398749999999998</v>
      </c>
    </row>
    <row r="44" spans="1:24" x14ac:dyDescent="0.3">
      <c r="V44">
        <v>3</v>
      </c>
      <c r="W44">
        <v>0.5</v>
      </c>
      <c r="X44">
        <f t="shared" si="10"/>
        <v>0.51219999999999999</v>
      </c>
    </row>
    <row r="45" spans="1:24" x14ac:dyDescent="0.3">
      <c r="V45">
        <v>3.5</v>
      </c>
      <c r="W45">
        <v>0.375</v>
      </c>
      <c r="X45">
        <f t="shared" si="10"/>
        <v>0.36806249999999974</v>
      </c>
    </row>
    <row r="46" spans="1:24" x14ac:dyDescent="0.3">
      <c r="V46">
        <v>4</v>
      </c>
      <c r="W46">
        <v>0.3</v>
      </c>
      <c r="X46">
        <f t="shared" si="10"/>
        <v>0.30410000000000004</v>
      </c>
    </row>
    <row r="49" spans="22:24" x14ac:dyDescent="0.3">
      <c r="V49">
        <v>0.5</v>
      </c>
      <c r="W49">
        <v>1</v>
      </c>
      <c r="X49">
        <f>0.0333*V49^3-0.2214*V49^2+0.1595*V49+0.9571</f>
        <v>0.9856625</v>
      </c>
    </row>
    <row r="50" spans="22:24" x14ac:dyDescent="0.3">
      <c r="V50">
        <v>1</v>
      </c>
      <c r="W50">
        <v>0.9</v>
      </c>
      <c r="X50">
        <f t="shared" ref="X50:X55" si="11">0.0333*V50^3-0.2214*V50^2+0.1595*V50+0.9571</f>
        <v>0.92849999999999988</v>
      </c>
    </row>
    <row r="51" spans="22:24" x14ac:dyDescent="0.3">
      <c r="V51">
        <v>1.5</v>
      </c>
      <c r="W51">
        <v>0.8</v>
      </c>
      <c r="X51">
        <f t="shared" si="11"/>
        <v>0.81058750000000002</v>
      </c>
    </row>
    <row r="52" spans="22:24" x14ac:dyDescent="0.3">
      <c r="V52">
        <v>2</v>
      </c>
      <c r="W52">
        <v>0.7</v>
      </c>
      <c r="X52">
        <f t="shared" si="11"/>
        <v>0.65690000000000004</v>
      </c>
    </row>
    <row r="53" spans="22:24" x14ac:dyDescent="0.3">
      <c r="V53">
        <v>2.5</v>
      </c>
      <c r="W53">
        <v>0.5</v>
      </c>
      <c r="X53">
        <f t="shared" si="11"/>
        <v>0.49241249999999998</v>
      </c>
    </row>
    <row r="54" spans="22:24" x14ac:dyDescent="0.3">
      <c r="V54">
        <v>3</v>
      </c>
      <c r="W54">
        <v>0.3</v>
      </c>
      <c r="X54">
        <f t="shared" si="11"/>
        <v>0.34209999999999985</v>
      </c>
    </row>
    <row r="55" spans="22:24" x14ac:dyDescent="0.3">
      <c r="V55">
        <v>3.5</v>
      </c>
      <c r="W55">
        <v>0.25</v>
      </c>
      <c r="X55">
        <f t="shared" si="11"/>
        <v>0.2309374999999998</v>
      </c>
    </row>
    <row r="56" spans="22:24" x14ac:dyDescent="0.3">
      <c r="V56">
        <v>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1C010-5814-4331-8868-1F02CC1F62A1}">
  <sheetPr codeName="Sheet2"/>
  <dimension ref="A1:BR183"/>
  <sheetViews>
    <sheetView topLeftCell="M1" zoomScale="83" zoomScaleNormal="145" workbookViewId="0">
      <selection activeCell="F30" sqref="F30"/>
    </sheetView>
  </sheetViews>
  <sheetFormatPr defaultRowHeight="14.4" x14ac:dyDescent="0.3"/>
  <cols>
    <col min="1" max="1" width="11" bestFit="1" customWidth="1"/>
    <col min="2" max="2" width="9.5546875" customWidth="1"/>
    <col min="3" max="3" width="18.21875" customWidth="1"/>
    <col min="4" max="4" width="13.33203125" customWidth="1"/>
    <col min="5" max="5" width="12.6640625" customWidth="1"/>
    <col min="6" max="6" width="12.109375" bestFit="1" customWidth="1"/>
    <col min="8" max="8" width="10.77734375" customWidth="1"/>
    <col min="9" max="10" width="10" bestFit="1" customWidth="1"/>
    <col min="11" max="11" width="17.5546875" customWidth="1"/>
    <col min="12" max="14" width="19.6640625" customWidth="1"/>
    <col min="15" max="15" width="20.6640625" customWidth="1"/>
    <col min="16" max="16" width="16" customWidth="1"/>
    <col min="17" max="17" width="19.44140625" customWidth="1"/>
    <col min="18" max="18" width="18" customWidth="1"/>
    <col min="19" max="19" width="12.6640625" customWidth="1"/>
    <col min="20" max="20" width="19" bestFit="1" customWidth="1"/>
    <col min="21" max="21" width="17.21875" customWidth="1"/>
    <col min="22" max="22" width="19.109375" customWidth="1"/>
    <col min="23" max="23" width="14.44140625" customWidth="1"/>
    <col min="24" max="25" width="14.6640625" customWidth="1"/>
    <col min="26" max="26" width="20.88671875" customWidth="1"/>
    <col min="27" max="27" width="17.21875" bestFit="1" customWidth="1"/>
    <col min="28" max="28" width="21.6640625" customWidth="1"/>
    <col min="29" max="29" width="11.5546875" customWidth="1"/>
    <col min="30" max="30" width="12.44140625" customWidth="1"/>
    <col min="31" max="31" width="23.88671875" customWidth="1"/>
    <col min="32" max="32" width="22.109375" customWidth="1"/>
    <col min="33" max="33" width="22.77734375" customWidth="1"/>
    <col min="34" max="34" width="19.109375" customWidth="1"/>
    <col min="35" max="35" width="20.21875" customWidth="1"/>
    <col min="36" max="36" width="11" bestFit="1" customWidth="1"/>
    <col min="37" max="37" width="14.33203125" bestFit="1" customWidth="1"/>
    <col min="38" max="38" width="12.109375" bestFit="1" customWidth="1"/>
    <col min="39" max="40" width="11" bestFit="1" customWidth="1"/>
    <col min="41" max="41" width="13.21875" bestFit="1" customWidth="1"/>
    <col min="42" max="42" width="12.109375" bestFit="1" customWidth="1"/>
    <col min="43" max="44" width="11" bestFit="1" customWidth="1"/>
    <col min="45" max="45" width="13.21875" bestFit="1" customWidth="1"/>
    <col min="46" max="46" width="12.109375" bestFit="1" customWidth="1"/>
    <col min="47" max="47" width="14.21875" customWidth="1"/>
    <col min="48" max="48" width="12.109375" bestFit="1" customWidth="1"/>
    <col min="49" max="49" width="14.33203125" bestFit="1" customWidth="1"/>
    <col min="50" max="50" width="13.21875" bestFit="1" customWidth="1"/>
    <col min="51" max="51" width="12.109375" bestFit="1" customWidth="1"/>
    <col min="52" max="52" width="17.5546875" customWidth="1"/>
    <col min="53" max="53" width="14.33203125" bestFit="1" customWidth="1"/>
    <col min="54" max="55" width="10" bestFit="1" customWidth="1"/>
    <col min="56" max="56" width="17.44140625" customWidth="1"/>
    <col min="57" max="57" width="9.33203125" customWidth="1"/>
    <col min="58" max="58" width="10.88671875" customWidth="1"/>
    <col min="59" max="59" width="12.77734375" customWidth="1"/>
    <col min="60" max="60" width="14" customWidth="1"/>
    <col min="61" max="61" width="11.6640625" customWidth="1"/>
    <col min="62" max="63" width="10" bestFit="1" customWidth="1"/>
    <col min="64" max="64" width="12.109375" bestFit="1" customWidth="1"/>
    <col min="65" max="65" width="10" bestFit="1" customWidth="1"/>
    <col min="66" max="67" width="11" bestFit="1" customWidth="1"/>
    <col min="68" max="68" width="10.6640625" customWidth="1"/>
    <col min="69" max="69" width="12.109375" bestFit="1" customWidth="1"/>
    <col min="70" max="70" width="11" bestFit="1" customWidth="1"/>
  </cols>
  <sheetData>
    <row r="1" spans="1:70" ht="28.8" customHeight="1" thickBot="1" x14ac:dyDescent="0.35">
      <c r="A1" s="32"/>
      <c r="B1" s="32"/>
      <c r="C1" s="32"/>
      <c r="D1" s="32"/>
      <c r="E1" s="32"/>
      <c r="F1" s="68" t="s">
        <v>16</v>
      </c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0" t="s">
        <v>15</v>
      </c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</row>
    <row r="2" spans="1:70" ht="30" customHeight="1" thickBot="1" x14ac:dyDescent="0.35">
      <c r="N2" s="62" t="s">
        <v>17</v>
      </c>
      <c r="O2" s="63"/>
      <c r="P2" s="63"/>
      <c r="Q2" s="63"/>
      <c r="R2" s="63"/>
      <c r="S2" s="63"/>
      <c r="T2" s="64"/>
      <c r="U2" s="65" t="s">
        <v>70</v>
      </c>
      <c r="V2" s="66"/>
      <c r="W2" s="66"/>
      <c r="X2" s="66"/>
      <c r="Y2" s="66"/>
      <c r="Z2" s="66"/>
      <c r="AA2" s="66"/>
      <c r="AB2" s="67" t="s">
        <v>71</v>
      </c>
      <c r="AC2" s="67"/>
      <c r="AD2" s="67"/>
      <c r="AE2" s="67"/>
      <c r="AF2" s="67"/>
      <c r="AG2" s="67"/>
      <c r="AH2" s="67"/>
      <c r="AI2" s="67"/>
      <c r="AJ2" s="67"/>
      <c r="AK2" s="67"/>
      <c r="AL2" s="67"/>
      <c r="AM2" s="15"/>
      <c r="AN2" s="15"/>
      <c r="AO2" s="15"/>
      <c r="AP2" s="15" t="s">
        <v>10</v>
      </c>
      <c r="AQ2" s="15"/>
      <c r="AR2" s="40" t="s">
        <v>81</v>
      </c>
      <c r="AS2" s="40" t="s">
        <v>82</v>
      </c>
      <c r="AT2" s="40" t="s">
        <v>84</v>
      </c>
      <c r="AU2" s="40" t="s">
        <v>85</v>
      </c>
      <c r="AV2" s="61" t="s">
        <v>88</v>
      </c>
      <c r="AW2" s="61"/>
      <c r="AX2" s="61" t="s">
        <v>89</v>
      </c>
      <c r="AY2" s="61"/>
      <c r="AZ2" s="61" t="s">
        <v>92</v>
      </c>
      <c r="BA2" s="61"/>
      <c r="BB2" s="58" t="s">
        <v>34</v>
      </c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</row>
    <row r="3" spans="1:70" ht="28.8" x14ac:dyDescent="0.3">
      <c r="A3" s="3" t="s">
        <v>4</v>
      </c>
      <c r="B3" s="2" t="s">
        <v>19</v>
      </c>
      <c r="C3" s="3" t="s">
        <v>5</v>
      </c>
      <c r="D3" s="3" t="s">
        <v>6</v>
      </c>
      <c r="E3" s="4" t="s">
        <v>1</v>
      </c>
      <c r="F3" s="12" t="s">
        <v>2</v>
      </c>
      <c r="G3" s="3" t="s">
        <v>3</v>
      </c>
      <c r="H3" s="30" t="s">
        <v>59</v>
      </c>
      <c r="I3" s="3" t="s">
        <v>60</v>
      </c>
      <c r="J3" s="3" t="s">
        <v>7</v>
      </c>
      <c r="K3" s="3" t="s">
        <v>61</v>
      </c>
      <c r="L3" s="3" t="s">
        <v>62</v>
      </c>
      <c r="M3" s="3" t="s">
        <v>63</v>
      </c>
      <c r="N3" s="31" t="s">
        <v>64</v>
      </c>
      <c r="O3" s="31" t="s">
        <v>65</v>
      </c>
      <c r="P3" s="31" t="s">
        <v>18</v>
      </c>
      <c r="Q3" s="31" t="s">
        <v>66</v>
      </c>
      <c r="R3" s="31" t="s">
        <v>67</v>
      </c>
      <c r="S3" s="31" t="s">
        <v>68</v>
      </c>
      <c r="T3" s="31" t="s">
        <v>69</v>
      </c>
      <c r="U3" s="31" t="s">
        <v>64</v>
      </c>
      <c r="V3" s="31" t="s">
        <v>65</v>
      </c>
      <c r="W3" s="31" t="s">
        <v>18</v>
      </c>
      <c r="X3" s="31" t="s">
        <v>66</v>
      </c>
      <c r="Y3" s="31" t="s">
        <v>67</v>
      </c>
      <c r="Z3" s="31" t="s">
        <v>68</v>
      </c>
      <c r="AA3" s="31" t="s">
        <v>69</v>
      </c>
      <c r="AB3" s="3" t="s">
        <v>72</v>
      </c>
      <c r="AC3" s="3" t="s">
        <v>11</v>
      </c>
      <c r="AD3" s="3" t="s">
        <v>73</v>
      </c>
      <c r="AE3" s="3" t="s">
        <v>77</v>
      </c>
      <c r="AF3" s="31" t="s">
        <v>64</v>
      </c>
      <c r="AG3" s="3" t="s">
        <v>14</v>
      </c>
      <c r="AH3" s="3" t="s">
        <v>74</v>
      </c>
      <c r="AI3" s="3" t="s">
        <v>75</v>
      </c>
      <c r="AJ3" s="3" t="s">
        <v>66</v>
      </c>
      <c r="AK3" s="3" t="s">
        <v>48</v>
      </c>
      <c r="AL3" s="30" t="s">
        <v>76</v>
      </c>
      <c r="AM3" s="3" t="s">
        <v>7</v>
      </c>
      <c r="AN3" s="3" t="s">
        <v>78</v>
      </c>
      <c r="AO3" s="3" t="s">
        <v>61</v>
      </c>
      <c r="AP3" s="3" t="s">
        <v>79</v>
      </c>
      <c r="AQ3" s="3" t="s">
        <v>11</v>
      </c>
      <c r="AR3" s="3" t="s">
        <v>80</v>
      </c>
      <c r="AS3" s="3" t="s">
        <v>80</v>
      </c>
      <c r="AT3" s="3" t="s">
        <v>83</v>
      </c>
      <c r="AU3" s="3" t="s">
        <v>83</v>
      </c>
      <c r="AV3" s="3" t="s">
        <v>86</v>
      </c>
      <c r="AW3" s="3" t="s">
        <v>87</v>
      </c>
      <c r="AX3" s="30" t="s">
        <v>90</v>
      </c>
      <c r="AY3" s="30" t="s">
        <v>91</v>
      </c>
      <c r="AZ3" s="30" t="s">
        <v>90</v>
      </c>
      <c r="BA3" s="30" t="s">
        <v>93</v>
      </c>
      <c r="BB3" s="3" t="s">
        <v>11</v>
      </c>
      <c r="BC3" s="3" t="s">
        <v>94</v>
      </c>
      <c r="BD3" s="3" t="s">
        <v>95</v>
      </c>
      <c r="BE3" s="30" t="s">
        <v>96</v>
      </c>
      <c r="BF3" s="30" t="s">
        <v>97</v>
      </c>
      <c r="BG3" s="30" t="s">
        <v>80</v>
      </c>
      <c r="BH3" s="30" t="s">
        <v>14</v>
      </c>
      <c r="BI3" s="30" t="s">
        <v>86</v>
      </c>
      <c r="BJ3" s="3" t="s">
        <v>98</v>
      </c>
      <c r="BK3" s="3" t="s">
        <v>99</v>
      </c>
      <c r="BL3" s="30" t="s">
        <v>100</v>
      </c>
      <c r="BM3" s="30" t="s">
        <v>102</v>
      </c>
      <c r="BN3" s="1"/>
      <c r="BO3" s="1"/>
      <c r="BP3" s="1"/>
      <c r="BQ3" s="1"/>
      <c r="BR3" s="1"/>
    </row>
    <row r="4" spans="1:70" x14ac:dyDescent="0.3">
      <c r="A4" s="7">
        <v>1</v>
      </c>
      <c r="B4" s="7">
        <v>2.1666666666666665</v>
      </c>
      <c r="C4" s="7">
        <v>3.6870166666666662</v>
      </c>
      <c r="D4" s="7">
        <v>6.8067999999999991</v>
      </c>
      <c r="E4" s="7">
        <v>8</v>
      </c>
      <c r="F4" s="7">
        <v>5.413386</v>
      </c>
      <c r="G4" s="7" t="s">
        <v>53</v>
      </c>
      <c r="H4" s="7">
        <v>0.64960631999999996</v>
      </c>
      <c r="I4" s="7">
        <v>1</v>
      </c>
      <c r="J4" s="7">
        <v>4.08</v>
      </c>
      <c r="K4" s="7">
        <v>4.08</v>
      </c>
      <c r="L4" s="7">
        <v>10.666666666666666</v>
      </c>
      <c r="M4" s="7">
        <v>0.5</v>
      </c>
      <c r="N4" s="7">
        <v>6.9359999999999999</v>
      </c>
      <c r="O4" s="7">
        <v>305.81466756923078</v>
      </c>
      <c r="P4" s="7">
        <v>6.7839548848625482</v>
      </c>
      <c r="Q4" s="7">
        <v>29.929212727334775</v>
      </c>
      <c r="R4" s="7">
        <v>4.0370204422246498</v>
      </c>
      <c r="S4" s="7">
        <v>32.676147169972673</v>
      </c>
      <c r="T4" s="7">
        <v>8.7857888616284328</v>
      </c>
      <c r="U4" s="7">
        <v>3.6720000000000002</v>
      </c>
      <c r="V4" s="7">
        <v>101.93822252307693</v>
      </c>
      <c r="W4" s="7">
        <v>3.5915055272801735</v>
      </c>
      <c r="X4" s="7">
        <v>9.9764042424449251</v>
      </c>
      <c r="Y4" s="7">
        <v>4.0370204422246498</v>
      </c>
      <c r="Z4" s="7">
        <v>9.5308893275004483</v>
      </c>
      <c r="AA4" s="7">
        <v>6.5510743113207717</v>
      </c>
      <c r="AB4" s="7">
        <v>20.399999999999999</v>
      </c>
      <c r="AC4" s="7"/>
      <c r="AD4" s="7">
        <v>1.2778975913570498</v>
      </c>
      <c r="AE4" s="7">
        <v>31.103319499243199</v>
      </c>
      <c r="AF4" s="7">
        <v>19.873428535645822</v>
      </c>
      <c r="AG4" s="7">
        <v>0</v>
      </c>
      <c r="AH4" s="7">
        <v>244.79999999999998</v>
      </c>
      <c r="AI4" s="7">
        <v>22.677410086349685</v>
      </c>
      <c r="AJ4" s="7">
        <v>27.950860640102398</v>
      </c>
      <c r="AK4" s="7">
        <v>46.591250284227435</v>
      </c>
      <c r="AL4" s="7">
        <v>19.911207502669427</v>
      </c>
      <c r="AM4" s="7">
        <v>10.666666666666666</v>
      </c>
      <c r="AN4" s="7">
        <v>1</v>
      </c>
      <c r="AO4" s="7">
        <v>10.666666666666666</v>
      </c>
      <c r="AP4" s="7">
        <v>1.1138898277333333</v>
      </c>
      <c r="AQ4" s="7">
        <v>0.5</v>
      </c>
      <c r="AR4" s="7">
        <v>0.42666666666666664</v>
      </c>
      <c r="AS4" s="7">
        <v>0.21333333333333332</v>
      </c>
      <c r="AT4" s="7">
        <v>4.7165229855743984</v>
      </c>
      <c r="AU4" s="7">
        <v>2.3582614927871992</v>
      </c>
      <c r="AV4" s="7">
        <v>21.320412553846154</v>
      </c>
      <c r="AW4" s="7">
        <v>23.582614927871997</v>
      </c>
      <c r="AX4" s="7">
        <v>28.299137913446394</v>
      </c>
      <c r="AY4" s="7">
        <v>3.930435821311999</v>
      </c>
      <c r="AZ4" s="7">
        <v>25.940876420659198</v>
      </c>
      <c r="BA4" s="7">
        <v>1.9652179106559995</v>
      </c>
      <c r="BB4" s="7">
        <v>0</v>
      </c>
      <c r="BC4" s="7">
        <v>36.956160334351225</v>
      </c>
      <c r="BD4" s="7">
        <v>4.1233571462647047</v>
      </c>
      <c r="BE4" s="7">
        <v>1.3825544446838391</v>
      </c>
      <c r="BF4" s="7">
        <v>0.64960631999999996</v>
      </c>
      <c r="BG4" s="7">
        <v>0.44905805250535613</v>
      </c>
      <c r="BH4" s="7">
        <v>0</v>
      </c>
      <c r="BI4" s="7">
        <v>12.799999999999999</v>
      </c>
      <c r="BJ4" s="7">
        <v>9.1007495669869787</v>
      </c>
      <c r="BK4" s="7">
        <v>23.596906666666662</v>
      </c>
      <c r="BL4" s="7">
        <v>32.697656233653639</v>
      </c>
      <c r="BM4" s="7">
        <v>7.4460678275348</v>
      </c>
      <c r="BN4" s="19"/>
      <c r="BO4" s="7"/>
      <c r="BP4" s="7"/>
      <c r="BQ4" s="7"/>
      <c r="BR4" s="7"/>
    </row>
    <row r="5" spans="1:70" x14ac:dyDescent="0.3">
      <c r="A5" s="7">
        <v>2</v>
      </c>
      <c r="B5" s="7">
        <v>2.1666666666666665</v>
      </c>
      <c r="C5" s="7">
        <v>3.6870166666666662</v>
      </c>
      <c r="D5" s="7">
        <v>6.8067999999999991</v>
      </c>
      <c r="E5" s="7">
        <v>10</v>
      </c>
      <c r="F5" s="7">
        <v>10.990814</v>
      </c>
      <c r="G5" s="7" t="s">
        <v>37</v>
      </c>
      <c r="H5" s="7">
        <v>1.3188976800000001</v>
      </c>
      <c r="I5" s="7">
        <v>1</v>
      </c>
      <c r="J5" s="7">
        <v>5.0999999999999996</v>
      </c>
      <c r="K5" s="7">
        <v>5.0999999999999996</v>
      </c>
      <c r="L5" s="7">
        <v>12.019900497512438</v>
      </c>
      <c r="M5" s="7">
        <v>0.5</v>
      </c>
      <c r="N5" s="7">
        <v>9.18</v>
      </c>
      <c r="O5" s="7">
        <v>229.49999999999997</v>
      </c>
      <c r="P5" s="7">
        <v>16.034802455129661</v>
      </c>
      <c r="Q5" s="7">
        <v>22.460513014367997</v>
      </c>
      <c r="R5" s="7">
        <v>8.1963748372439866</v>
      </c>
      <c r="S5" s="7">
        <v>30.298940632253668</v>
      </c>
      <c r="T5" s="7">
        <v>19.42073655583475</v>
      </c>
      <c r="U5" s="7">
        <v>6.1199999999999992</v>
      </c>
      <c r="V5" s="7">
        <v>127.49999999999999</v>
      </c>
      <c r="W5" s="7">
        <v>9.7587372407915804</v>
      </c>
      <c r="X5" s="7">
        <v>12.478062785759999</v>
      </c>
      <c r="Y5" s="7">
        <v>8.1963748372439866</v>
      </c>
      <c r="Z5" s="7">
        <v>14.040425189307591</v>
      </c>
      <c r="AA5" s="7">
        <v>15.027490905798093</v>
      </c>
      <c r="AB5" s="7">
        <v>25.5</v>
      </c>
      <c r="AC5" s="7">
        <v>0.55000000000000004</v>
      </c>
      <c r="AD5" s="7">
        <v>1.2778975913570498</v>
      </c>
      <c r="AE5" s="7">
        <v>63.149163831796805</v>
      </c>
      <c r="AF5" s="7">
        <v>14.025</v>
      </c>
      <c r="AG5" s="7">
        <v>9</v>
      </c>
      <c r="AH5" s="7">
        <v>229.5</v>
      </c>
      <c r="AI5" s="7">
        <v>39.1661893203906</v>
      </c>
      <c r="AJ5" s="7">
        <v>26.203931850095998</v>
      </c>
      <c r="AK5" s="7">
        <v>57.173746333242612</v>
      </c>
      <c r="AL5" s="7">
        <v>35.612707361517408</v>
      </c>
      <c r="AM5" s="7">
        <v>13.333333333333334</v>
      </c>
      <c r="AN5" s="7">
        <v>1</v>
      </c>
      <c r="AO5" s="7">
        <v>13.333333333333334</v>
      </c>
      <c r="AP5" s="7">
        <v>1.3923622846666668</v>
      </c>
      <c r="AQ5" s="7">
        <v>0.5</v>
      </c>
      <c r="AR5" s="7">
        <v>0.69618114233333339</v>
      </c>
      <c r="AS5" s="7">
        <v>0.69618114233333339</v>
      </c>
      <c r="AT5" s="7">
        <v>13.96706675528781</v>
      </c>
      <c r="AU5" s="7">
        <v>11.60880526250061</v>
      </c>
      <c r="AV5" s="7">
        <v>12.531260562000002</v>
      </c>
      <c r="AW5" s="7">
        <v>16.171038291252845</v>
      </c>
      <c r="AX5" s="7">
        <v>30.138105046540655</v>
      </c>
      <c r="AY5" s="7">
        <v>6.6075312640810084</v>
      </c>
      <c r="AZ5" s="7">
        <v>27.779843553753455</v>
      </c>
      <c r="BA5" s="7">
        <v>6.6075312640810084</v>
      </c>
      <c r="BB5" s="7">
        <v>0.55000000000000004</v>
      </c>
      <c r="BC5" s="7">
        <v>36.956160334351225</v>
      </c>
      <c r="BD5" s="7">
        <v>0</v>
      </c>
      <c r="BE5" s="7">
        <v>1.3825544446838391</v>
      </c>
      <c r="BF5" s="7">
        <v>1.3188976800000001</v>
      </c>
      <c r="BG5" s="7">
        <v>0.76579925656666681</v>
      </c>
      <c r="BH5" s="7">
        <v>9</v>
      </c>
      <c r="BI5" s="7">
        <v>12.531260562000002</v>
      </c>
      <c r="BJ5" s="7">
        <v>22.183661469867374</v>
      </c>
      <c r="BK5" s="7">
        <v>18.481186618574682</v>
      </c>
      <c r="BL5" s="7">
        <v>40.664848088442056</v>
      </c>
      <c r="BM5" s="7">
        <v>17.621665974219553</v>
      </c>
      <c r="BN5" s="19"/>
      <c r="BO5" s="7"/>
      <c r="BP5" s="7"/>
      <c r="BQ5" s="7"/>
      <c r="BR5" s="7"/>
    </row>
    <row r="6" spans="1:70" x14ac:dyDescent="0.3">
      <c r="A6" s="7">
        <v>3</v>
      </c>
      <c r="B6" s="7">
        <v>2.1666666666666665</v>
      </c>
      <c r="C6" s="7">
        <v>3.6870166666666662</v>
      </c>
      <c r="D6" s="7">
        <v>6.8067999999999991</v>
      </c>
      <c r="E6" s="7">
        <v>9</v>
      </c>
      <c r="F6" s="7">
        <v>15.912073999999999</v>
      </c>
      <c r="G6" s="7" t="s">
        <v>37</v>
      </c>
      <c r="H6" s="7">
        <v>1.9094488799999998</v>
      </c>
      <c r="I6" s="7">
        <v>1</v>
      </c>
      <c r="J6" s="7">
        <v>4.59</v>
      </c>
      <c r="K6" s="7">
        <v>4.59</v>
      </c>
      <c r="L6" s="7">
        <v>12.013745704467356</v>
      </c>
      <c r="M6" s="7">
        <v>0.5</v>
      </c>
      <c r="N6" s="7">
        <v>8.2620000000000005</v>
      </c>
      <c r="O6" s="7">
        <v>206.54999999999998</v>
      </c>
      <c r="P6" s="7">
        <v>23.381063760930015</v>
      </c>
      <c r="Q6" s="7">
        <v>20.214461712931197</v>
      </c>
      <c r="R6" s="7">
        <v>11.866393421084577</v>
      </c>
      <c r="S6" s="7">
        <v>31.729132052776638</v>
      </c>
      <c r="T6" s="7">
        <v>28.233138053735587</v>
      </c>
      <c r="U6" s="7">
        <v>5.508</v>
      </c>
      <c r="V6" s="7">
        <v>114.75</v>
      </c>
      <c r="W6" s="7">
        <v>14.656244777991816</v>
      </c>
      <c r="X6" s="7">
        <v>11.230256507184</v>
      </c>
      <c r="Y6" s="7">
        <v>11.866393421084577</v>
      </c>
      <c r="Z6" s="7">
        <v>14.020107864091241</v>
      </c>
      <c r="AA6" s="7">
        <v>22.125764765678849</v>
      </c>
      <c r="AB6" s="7">
        <v>22.95</v>
      </c>
      <c r="AC6" s="7">
        <v>0.55000000000000004</v>
      </c>
      <c r="AD6" s="7">
        <v>1.2778975913570498</v>
      </c>
      <c r="AE6" s="7">
        <v>91.424908831108795</v>
      </c>
      <c r="AF6" s="7">
        <v>12.6225</v>
      </c>
      <c r="AG6" s="7">
        <v>9</v>
      </c>
      <c r="AH6" s="7">
        <v>206.54999999999998</v>
      </c>
      <c r="AI6" s="7">
        <v>52.260219888599558</v>
      </c>
      <c r="AJ6" s="7">
        <v>23.583538665086397</v>
      </c>
      <c r="AK6" s="7">
        <v>63.977365132601378</v>
      </c>
      <c r="AL6" s="7">
        <v>48.448547343104266</v>
      </c>
      <c r="AM6" s="7">
        <v>12</v>
      </c>
      <c r="AN6" s="7">
        <v>1</v>
      </c>
      <c r="AO6" s="7">
        <v>12</v>
      </c>
      <c r="AP6" s="7">
        <v>1.2531260561999999</v>
      </c>
      <c r="AQ6" s="7">
        <v>0.5</v>
      </c>
      <c r="AR6" s="7">
        <v>0.62656302809999997</v>
      </c>
      <c r="AS6" s="7">
        <v>0.62656302809999997</v>
      </c>
      <c r="AT6" s="7">
        <v>21.313086807707279</v>
      </c>
      <c r="AU6" s="7">
        <v>18.954825314920079</v>
      </c>
      <c r="AV6" s="7">
        <v>11.278134505799999</v>
      </c>
      <c r="AW6" s="7">
        <v>14.553934462127556</v>
      </c>
      <c r="AX6" s="7">
        <v>35.867021269834837</v>
      </c>
      <c r="AY6" s="7">
        <v>5.247157180299622</v>
      </c>
      <c r="AZ6" s="7">
        <v>33.508759777047636</v>
      </c>
      <c r="BA6" s="7">
        <v>5.247157180299622</v>
      </c>
      <c r="BB6" s="7">
        <v>0.55000000000000004</v>
      </c>
      <c r="BC6" s="7">
        <v>36.956160334351225</v>
      </c>
      <c r="BD6" s="7">
        <v>0</v>
      </c>
      <c r="BE6" s="7">
        <v>1.3825544446838391</v>
      </c>
      <c r="BF6" s="7">
        <v>1.9094488799999998</v>
      </c>
      <c r="BG6" s="7">
        <v>0.68921933090999998</v>
      </c>
      <c r="BH6" s="7">
        <v>9</v>
      </c>
      <c r="BI6" s="7">
        <v>11.278134505799999</v>
      </c>
      <c r="BJ6" s="7">
        <v>32.573032686860628</v>
      </c>
      <c r="BK6" s="7">
        <v>16.633067956717209</v>
      </c>
      <c r="BL6" s="7">
        <v>49.206100643577841</v>
      </c>
      <c r="BM6" s="7">
        <v>25.702288031880972</v>
      </c>
      <c r="BN6" s="19"/>
      <c r="BO6" s="7"/>
      <c r="BP6" s="7"/>
      <c r="BQ6" s="7"/>
      <c r="BR6" s="7"/>
    </row>
    <row r="7" spans="1:70" x14ac:dyDescent="0.3">
      <c r="A7" s="7">
        <v>4</v>
      </c>
      <c r="B7" s="7">
        <v>2.1666666666666665</v>
      </c>
      <c r="C7" s="7">
        <v>3.6870166666666662</v>
      </c>
      <c r="D7" s="7">
        <v>6.8067999999999991</v>
      </c>
      <c r="E7" s="7">
        <v>11</v>
      </c>
      <c r="F7" s="7">
        <v>20.833333999999997</v>
      </c>
      <c r="G7" s="7" t="s">
        <v>37</v>
      </c>
      <c r="H7" s="7">
        <v>2.5000000799999995</v>
      </c>
      <c r="I7" s="7">
        <v>0.92700533716223721</v>
      </c>
      <c r="J7" s="7">
        <v>5.61</v>
      </c>
      <c r="K7" s="7">
        <v>5.2004999414801514</v>
      </c>
      <c r="L7" s="7">
        <v>12.387525052635572</v>
      </c>
      <c r="M7" s="7">
        <v>0.5</v>
      </c>
      <c r="N7" s="7">
        <v>10.098000000000001</v>
      </c>
      <c r="O7" s="7">
        <v>252.45000000000002</v>
      </c>
      <c r="P7" s="7">
        <v>32.359827579130446</v>
      </c>
      <c r="Q7" s="7">
        <v>24.706564315804801</v>
      </c>
      <c r="R7" s="7">
        <v>15.536412004925166</v>
      </c>
      <c r="S7" s="7">
        <v>41.529979890010082</v>
      </c>
      <c r="T7" s="7">
        <v>38.18829131031648</v>
      </c>
      <c r="U7" s="7">
        <v>6.7320000000000002</v>
      </c>
      <c r="V7" s="7">
        <v>140.25</v>
      </c>
      <c r="W7" s="7">
        <v>20.642087323458767</v>
      </c>
      <c r="X7" s="7">
        <v>13.725869064335999</v>
      </c>
      <c r="Y7" s="7">
        <v>15.536412004925166</v>
      </c>
      <c r="Z7" s="7">
        <v>18.831544382869595</v>
      </c>
      <c r="AA7" s="7">
        <v>29.985873131346303</v>
      </c>
      <c r="AB7" s="7">
        <v>28.05</v>
      </c>
      <c r="AC7" s="7">
        <v>0.55000000000000004</v>
      </c>
      <c r="AD7" s="7">
        <v>1.2778975913570498</v>
      </c>
      <c r="AE7" s="7">
        <v>119.70065383042078</v>
      </c>
      <c r="AF7" s="7">
        <v>15.427500000000002</v>
      </c>
      <c r="AG7" s="7">
        <v>9</v>
      </c>
      <c r="AH7" s="7">
        <v>252.45000000000002</v>
      </c>
      <c r="AI7" s="7">
        <v>68.264035027521615</v>
      </c>
      <c r="AJ7" s="7">
        <v>28.824325035105602</v>
      </c>
      <c r="AK7" s="7">
        <v>81.551948057702049</v>
      </c>
      <c r="AL7" s="7">
        <v>63.321236524190297</v>
      </c>
      <c r="AM7" s="7">
        <v>14.666666666666666</v>
      </c>
      <c r="AN7" s="7">
        <v>0.92700533716223721</v>
      </c>
      <c r="AO7" s="7">
        <v>13.596078278379478</v>
      </c>
      <c r="AP7" s="7">
        <v>1.5315985131333332</v>
      </c>
      <c r="AQ7" s="7">
        <v>0.5</v>
      </c>
      <c r="AR7" s="7">
        <v>0.76579925656666659</v>
      </c>
      <c r="AS7" s="7">
        <v>0.76579925656666659</v>
      </c>
      <c r="AT7" s="7">
        <v>30.291555760664409</v>
      </c>
      <c r="AU7" s="7">
        <v>27.933294267877208</v>
      </c>
      <c r="AV7" s="7">
        <v>13.784386618199999</v>
      </c>
      <c r="AW7" s="7">
        <v>17.788142120378126</v>
      </c>
      <c r="AX7" s="7">
        <v>48.079697881042534</v>
      </c>
      <c r="AY7" s="7">
        <v>6.4131921092550934</v>
      </c>
      <c r="AZ7" s="7">
        <v>45.721436388255334</v>
      </c>
      <c r="BA7" s="7">
        <v>6.4131921092550934</v>
      </c>
      <c r="BB7" s="7">
        <v>0.55000000000000004</v>
      </c>
      <c r="BC7" s="7">
        <v>36.956160334351225</v>
      </c>
      <c r="BD7" s="7">
        <v>0</v>
      </c>
      <c r="BE7" s="7">
        <v>1.3825544446838391</v>
      </c>
      <c r="BF7" s="7">
        <v>2.5000000799999995</v>
      </c>
      <c r="BG7" s="7">
        <v>0.8423791822233333</v>
      </c>
      <c r="BH7" s="7">
        <v>9</v>
      </c>
      <c r="BI7" s="7">
        <v>13.784386618199999</v>
      </c>
      <c r="BJ7" s="7">
        <v>45.271153063185714</v>
      </c>
      <c r="BK7" s="7">
        <v>20.329305280432145</v>
      </c>
      <c r="BL7" s="7">
        <v>65.600458343617859</v>
      </c>
      <c r="BM7" s="7">
        <v>35.578603880133812</v>
      </c>
      <c r="BN7" s="19"/>
      <c r="BO7" s="7"/>
      <c r="BP7" s="7"/>
      <c r="BQ7" s="7"/>
      <c r="BR7" s="7"/>
    </row>
    <row r="8" spans="1:70" x14ac:dyDescent="0.3">
      <c r="A8" s="7">
        <v>5</v>
      </c>
      <c r="B8" s="7">
        <v>2.1666666666666665</v>
      </c>
      <c r="C8" s="7">
        <v>3.6870166666666662</v>
      </c>
      <c r="D8" s="7">
        <v>6.8067999999999991</v>
      </c>
      <c r="E8" s="7">
        <v>19</v>
      </c>
      <c r="F8" s="7">
        <v>25.754593999999997</v>
      </c>
      <c r="G8" s="7" t="s">
        <v>53</v>
      </c>
      <c r="H8" s="7">
        <v>3.0905512799999997</v>
      </c>
      <c r="I8" s="7">
        <v>0.85610424574014343</v>
      </c>
      <c r="J8" s="7">
        <v>9.69</v>
      </c>
      <c r="K8" s="7">
        <v>8.295650141221989</v>
      </c>
      <c r="L8" s="7">
        <v>14.164680945523738</v>
      </c>
      <c r="M8" s="7">
        <v>0.5</v>
      </c>
      <c r="N8" s="7">
        <v>16.472999999999999</v>
      </c>
      <c r="O8" s="7">
        <v>232.21098110769228</v>
      </c>
      <c r="P8" s="7">
        <v>47.007002898720046</v>
      </c>
      <c r="Q8" s="7">
        <v>22.725829033762459</v>
      </c>
      <c r="R8" s="7">
        <v>19.206430588765759</v>
      </c>
      <c r="S8" s="7">
        <v>50.526401343716742</v>
      </c>
      <c r="T8" s="7">
        <v>52.111332617869792</v>
      </c>
      <c r="U8" s="7">
        <v>8.7210000000000001</v>
      </c>
      <c r="V8" s="7">
        <v>77.403660369230764</v>
      </c>
      <c r="W8" s="7">
        <v>28.396474257359142</v>
      </c>
      <c r="X8" s="7">
        <v>7.5752763445874862</v>
      </c>
      <c r="Y8" s="7">
        <v>19.206430588765759</v>
      </c>
      <c r="Z8" s="7">
        <v>16.765320013180865</v>
      </c>
      <c r="AA8" s="7">
        <v>39.083962568917158</v>
      </c>
      <c r="AB8" s="7">
        <v>48.449999999999996</v>
      </c>
      <c r="AC8" s="7">
        <v>0.55000000000000004</v>
      </c>
      <c r="AD8" s="7">
        <v>0.84843841895028826</v>
      </c>
      <c r="AE8" s="7">
        <v>147.97639882973277</v>
      </c>
      <c r="AF8" s="7">
        <v>113.55374767412687</v>
      </c>
      <c r="AG8" s="7">
        <v>0</v>
      </c>
      <c r="AH8" s="7">
        <v>581.4</v>
      </c>
      <c r="AI8" s="7">
        <v>186.05973660642474</v>
      </c>
      <c r="AJ8" s="7">
        <v>66.383294020243198</v>
      </c>
      <c r="AK8" s="7">
        <v>233.23660003790218</v>
      </c>
      <c r="AL8" s="7">
        <v>149.44824621326308</v>
      </c>
      <c r="AM8" s="7">
        <v>25.333333333333332</v>
      </c>
      <c r="AN8" s="7">
        <v>0.85610424574014343</v>
      </c>
      <c r="AO8" s="7">
        <v>21.687974225416966</v>
      </c>
      <c r="AP8" s="7">
        <v>2.6454883408666663</v>
      </c>
      <c r="AQ8" s="7">
        <v>0.5</v>
      </c>
      <c r="AR8" s="7">
        <v>0.86751896901667858</v>
      </c>
      <c r="AS8" s="7">
        <v>0.43375948450833929</v>
      </c>
      <c r="AT8" s="7">
        <v>39.009609363907948</v>
      </c>
      <c r="AU8" s="7">
        <v>32.292321069498982</v>
      </c>
      <c r="AV8" s="7">
        <v>13.859472371853915</v>
      </c>
      <c r="AW8" s="7">
        <v>15.330031687869472</v>
      </c>
      <c r="AX8" s="7">
        <v>54.33964105177742</v>
      </c>
      <c r="AY8" s="7">
        <v>7.2650446693696189</v>
      </c>
      <c r="AZ8" s="7">
        <v>47.622352757368454</v>
      </c>
      <c r="BA8" s="7">
        <v>3.6325223346848095</v>
      </c>
      <c r="BB8" s="7">
        <v>0.55000000000000004</v>
      </c>
      <c r="BC8" s="7">
        <v>39.790999956005592</v>
      </c>
      <c r="BD8" s="7">
        <v>6.9286579426403838</v>
      </c>
      <c r="BE8" s="7">
        <v>0.53605540464561219</v>
      </c>
      <c r="BF8" s="7">
        <v>3.0905512799999997</v>
      </c>
      <c r="BG8" s="7">
        <v>1.4984226357384385</v>
      </c>
      <c r="BH8" s="7">
        <v>0</v>
      </c>
      <c r="BI8" s="7">
        <v>30.4</v>
      </c>
      <c r="BJ8" s="7">
        <v>72.877968702112753</v>
      </c>
      <c r="BK8" s="7">
        <v>56.04265333333332</v>
      </c>
      <c r="BL8" s="7">
        <v>128.92062203544606</v>
      </c>
      <c r="BM8" s="7">
        <v>58.165998493801382</v>
      </c>
      <c r="BN8" s="19"/>
      <c r="BO8" s="7"/>
      <c r="BP8" s="7"/>
      <c r="BQ8" s="7"/>
      <c r="BR8" s="7"/>
    </row>
    <row r="9" spans="1:70" x14ac:dyDescent="0.3">
      <c r="A9" s="7">
        <v>6</v>
      </c>
      <c r="B9" s="7">
        <v>2.1666666666666665</v>
      </c>
      <c r="C9" s="7">
        <v>3.6870166666666662</v>
      </c>
      <c r="D9" s="7">
        <v>6.8067999999999991</v>
      </c>
      <c r="E9" s="7">
        <v>20</v>
      </c>
      <c r="F9" s="7">
        <v>30.019686</v>
      </c>
      <c r="G9" s="7" t="s">
        <v>13</v>
      </c>
      <c r="H9" s="7">
        <v>3.6023623199999997</v>
      </c>
      <c r="I9" s="7">
        <v>0.80486887119837314</v>
      </c>
      <c r="J9" s="7">
        <v>10.199999999999999</v>
      </c>
      <c r="K9" s="7">
        <v>8.2096624862234062</v>
      </c>
      <c r="L9" s="7">
        <v>15.201624731210014</v>
      </c>
      <c r="M9" s="7">
        <v>0.5</v>
      </c>
      <c r="N9" s="7">
        <v>20.399999999999999</v>
      </c>
      <c r="O9" s="7">
        <v>1129.0597809230774</v>
      </c>
      <c r="P9" s="7">
        <v>62.727397462572668</v>
      </c>
      <c r="Q9" s="7">
        <v>110.49787321752619</v>
      </c>
      <c r="R9" s="7">
        <v>22.387113361427605</v>
      </c>
      <c r="S9" s="7">
        <v>150.83815731867125</v>
      </c>
      <c r="T9" s="7">
        <v>66.296291585228474</v>
      </c>
      <c r="U9" s="7">
        <v>10.199999999999999</v>
      </c>
      <c r="V9" s="7">
        <v>423.39741784615404</v>
      </c>
      <c r="W9" s="7">
        <v>36.256671539285449</v>
      </c>
      <c r="X9" s="7">
        <v>41.436702456572327</v>
      </c>
      <c r="Y9" s="7">
        <v>22.387113361427605</v>
      </c>
      <c r="Z9" s="7">
        <v>55.30626063443016</v>
      </c>
      <c r="AA9" s="7">
        <v>47.766783438927419</v>
      </c>
      <c r="AB9" s="7">
        <v>51</v>
      </c>
      <c r="AC9" s="7">
        <v>0.55000000000000004</v>
      </c>
      <c r="AD9" s="7">
        <v>0.78708827580127427</v>
      </c>
      <c r="AE9" s="7">
        <v>172.48204449580319</v>
      </c>
      <c r="AF9" s="7">
        <v>126.11454181152824</v>
      </c>
      <c r="AG9" s="7">
        <v>0</v>
      </c>
      <c r="AH9" s="7">
        <v>611.99999999999989</v>
      </c>
      <c r="AI9" s="7">
        <v>299.44202829447204</v>
      </c>
      <c r="AJ9" s="7">
        <v>69.877151600255985</v>
      </c>
      <c r="AK9" s="7">
        <v>346.93206653330037</v>
      </c>
      <c r="AL9" s="7">
        <v>231.996533167558</v>
      </c>
      <c r="AM9" s="7">
        <v>26.666666666666668</v>
      </c>
      <c r="AN9" s="7">
        <v>0.80486887119837314</v>
      </c>
      <c r="AO9" s="7">
        <v>21.463169898623285</v>
      </c>
      <c r="AP9" s="7">
        <v>2.7847245693333336</v>
      </c>
      <c r="AQ9" s="7">
        <v>0.5</v>
      </c>
      <c r="AR9" s="7">
        <v>0.85852679594493142</v>
      </c>
      <c r="AS9" s="7">
        <v>0.42926339797246571</v>
      </c>
      <c r="AT9" s="7">
        <v>46.48693859238459</v>
      </c>
      <c r="AU9" s="7">
        <v>36.030985683737306</v>
      </c>
      <c r="AV9" s="7">
        <v>47.516082164028234</v>
      </c>
      <c r="AW9" s="7">
        <v>52.557776062042443</v>
      </c>
      <c r="AX9" s="7">
        <v>99.044714654427025</v>
      </c>
      <c r="AY9" s="7">
        <v>6.231107690397204</v>
      </c>
      <c r="AZ9" s="7">
        <v>88.588761745779749</v>
      </c>
      <c r="BA9" s="7">
        <v>3.115553845198602</v>
      </c>
      <c r="BB9" s="7">
        <v>0.55000000000000004</v>
      </c>
      <c r="BC9" s="7">
        <v>39.749376305654515</v>
      </c>
      <c r="BD9" s="7">
        <v>13.778714601267151</v>
      </c>
      <c r="BE9" s="7">
        <v>0.74122679098596289</v>
      </c>
      <c r="BF9" s="7">
        <v>3.6023623199999997</v>
      </c>
      <c r="BG9" s="7">
        <v>2.4804834350371543</v>
      </c>
      <c r="BH9" s="7">
        <v>0</v>
      </c>
      <c r="BI9" s="7">
        <v>32</v>
      </c>
      <c r="BJ9" s="7">
        <v>112.48482880027962</v>
      </c>
      <c r="BK9" s="7">
        <v>58.992266666666659</v>
      </c>
      <c r="BL9" s="7">
        <v>171.47709546694628</v>
      </c>
      <c r="BM9" s="7">
        <v>90.571611301392451</v>
      </c>
      <c r="BN9" s="19"/>
      <c r="BO9" s="7"/>
      <c r="BP9" s="7"/>
      <c r="BQ9" s="7"/>
      <c r="BR9" s="7"/>
    </row>
    <row r="10" spans="1:70" x14ac:dyDescent="0.3">
      <c r="A10" s="7">
        <v>7</v>
      </c>
      <c r="B10" s="7">
        <v>2.1666666666666665</v>
      </c>
      <c r="C10" s="7">
        <v>3.6870166666666662</v>
      </c>
      <c r="D10" s="7">
        <v>6.8067999999999991</v>
      </c>
      <c r="E10" s="7">
        <v>23</v>
      </c>
      <c r="F10" s="7">
        <v>34.940946000000004</v>
      </c>
      <c r="G10" s="7" t="s">
        <v>53</v>
      </c>
      <c r="H10" s="7">
        <v>4.1929135200000003</v>
      </c>
      <c r="I10" s="7">
        <v>0.75411306142487622</v>
      </c>
      <c r="J10" s="7">
        <v>11.73</v>
      </c>
      <c r="K10" s="7">
        <v>8.8457462105137985</v>
      </c>
      <c r="L10" s="7">
        <v>16.317752780855958</v>
      </c>
      <c r="M10" s="7">
        <v>0.5</v>
      </c>
      <c r="N10" s="7">
        <v>19.940999999999999</v>
      </c>
      <c r="O10" s="7">
        <v>436.85418212307718</v>
      </c>
      <c r="P10" s="7">
        <v>80.458188638917974</v>
      </c>
      <c r="Q10" s="7">
        <v>42.753677747086982</v>
      </c>
      <c r="R10" s="7">
        <v>26.0571319452682</v>
      </c>
      <c r="S10" s="7">
        <v>97.15473444073676</v>
      </c>
      <c r="T10" s="7">
        <v>82.377863992510783</v>
      </c>
      <c r="U10" s="7">
        <v>10.557</v>
      </c>
      <c r="V10" s="7">
        <v>145.61806070769239</v>
      </c>
      <c r="W10" s="7">
        <v>45.643560985585907</v>
      </c>
      <c r="X10" s="7">
        <v>14.251225915695661</v>
      </c>
      <c r="Y10" s="7">
        <v>26.0571319452682</v>
      </c>
      <c r="Z10" s="7">
        <v>33.837654956013367</v>
      </c>
      <c r="AA10" s="7">
        <v>58.007624635178331</v>
      </c>
      <c r="AB10" s="7">
        <v>58.650000000000006</v>
      </c>
      <c r="AC10" s="7">
        <v>0.55000000000000004</v>
      </c>
      <c r="AD10" s="7">
        <v>0.73061468749397085</v>
      </c>
      <c r="AE10" s="7">
        <v>200.75778949511522</v>
      </c>
      <c r="AF10" s="7">
        <v>136.34725233578823</v>
      </c>
      <c r="AG10" s="7">
        <v>0</v>
      </c>
      <c r="AH10" s="7">
        <v>703.8</v>
      </c>
      <c r="AI10" s="7">
        <v>440.88271674573866</v>
      </c>
      <c r="AJ10" s="7">
        <v>80.358724340294387</v>
      </c>
      <c r="AK10" s="7">
        <v>495.18430914076487</v>
      </c>
      <c r="AL10" s="7">
        <v>334.67503366728528</v>
      </c>
      <c r="AM10" s="7">
        <v>30.666666666666668</v>
      </c>
      <c r="AN10" s="7">
        <v>0.75411306142487622</v>
      </c>
      <c r="AO10" s="7">
        <v>23.126133883696205</v>
      </c>
      <c r="AP10" s="7">
        <v>3.2024332547333332</v>
      </c>
      <c r="AQ10" s="7">
        <v>0.5</v>
      </c>
      <c r="AR10" s="7">
        <v>0.92504535534784826</v>
      </c>
      <c r="AS10" s="7">
        <v>0.46252267767392413</v>
      </c>
      <c r="AT10" s="7">
        <v>55.7830984244804</v>
      </c>
      <c r="AU10" s="7">
        <v>40.679065599785211</v>
      </c>
      <c r="AV10" s="7">
        <v>22.9673164045033</v>
      </c>
      <c r="AW10" s="7">
        <v>25.404263511603119</v>
      </c>
      <c r="AX10" s="7">
        <v>81.187361936083519</v>
      </c>
      <c r="AY10" s="7">
        <v>7.746799860079844</v>
      </c>
      <c r="AZ10" s="7">
        <v>66.083329111388338</v>
      </c>
      <c r="BA10" s="7">
        <v>3.873399930039922</v>
      </c>
      <c r="BB10" s="7">
        <v>0.55000000000000004</v>
      </c>
      <c r="BC10" s="7">
        <v>40.047486972663968</v>
      </c>
      <c r="BD10" s="7">
        <v>7.7702262117293408</v>
      </c>
      <c r="BE10" s="7">
        <v>0.46718503260750732</v>
      </c>
      <c r="BF10" s="7">
        <v>4.1929135200000003</v>
      </c>
      <c r="BG10" s="7">
        <v>1.8209180987474571</v>
      </c>
      <c r="BH10" s="7">
        <v>0</v>
      </c>
      <c r="BI10" s="7">
        <v>36.799999999999997</v>
      </c>
      <c r="BJ10" s="7">
        <v>146.03327437680628</v>
      </c>
      <c r="BK10" s="7">
        <v>67.841106666666647</v>
      </c>
      <c r="BL10" s="7">
        <v>213.87438104347291</v>
      </c>
      <c r="BM10" s="7">
        <v>118.02033950036881</v>
      </c>
      <c r="BN10" s="19"/>
      <c r="BO10" s="7"/>
      <c r="BP10" s="7"/>
      <c r="BQ10" s="7"/>
      <c r="BR10" s="7"/>
    </row>
    <row r="11" spans="1:70" x14ac:dyDescent="0.3">
      <c r="A11" s="7">
        <v>8</v>
      </c>
      <c r="B11" s="7">
        <v>2.1666666666666665</v>
      </c>
      <c r="C11" s="7">
        <v>3.6870166666666662</v>
      </c>
      <c r="D11" s="7">
        <v>6.8067999999999991</v>
      </c>
      <c r="E11" s="7">
        <v>26</v>
      </c>
      <c r="F11" s="7">
        <v>41.502625999999999</v>
      </c>
      <c r="G11" s="7" t="s">
        <v>13</v>
      </c>
      <c r="H11" s="7">
        <v>4.8865512575999999</v>
      </c>
      <c r="I11" s="7">
        <v>0.70292763833168392</v>
      </c>
      <c r="J11" s="7">
        <v>13.26</v>
      </c>
      <c r="K11" s="7">
        <v>9.3208204842781281</v>
      </c>
      <c r="L11" s="7">
        <v>17.590544140219713</v>
      </c>
      <c r="M11" s="7">
        <v>0.5</v>
      </c>
      <c r="N11" s="7">
        <v>26.52</v>
      </c>
      <c r="O11" s="7">
        <v>89.566444800000028</v>
      </c>
      <c r="P11" s="7">
        <v>111.89897776662318</v>
      </c>
      <c r="Q11" s="7">
        <v>8.7656135036212355</v>
      </c>
      <c r="R11" s="7">
        <v>30.950490057055649</v>
      </c>
      <c r="S11" s="7">
        <v>89.714101213188769</v>
      </c>
      <c r="T11" s="7">
        <v>109.27977449369186</v>
      </c>
      <c r="U11" s="7">
        <v>13.26</v>
      </c>
      <c r="V11" s="7">
        <v>33.587416800000007</v>
      </c>
      <c r="W11" s="7">
        <v>61.363955549438501</v>
      </c>
      <c r="X11" s="7">
        <v>3.2871050638579633</v>
      </c>
      <c r="Y11" s="7">
        <v>30.950490057055649</v>
      </c>
      <c r="Z11" s="7">
        <v>33.70057055624082</v>
      </c>
      <c r="AA11" s="7">
        <v>73.905258941662595</v>
      </c>
      <c r="AB11" s="7">
        <v>66.3</v>
      </c>
      <c r="AC11" s="7">
        <v>0.55000000000000004</v>
      </c>
      <c r="AD11" s="7">
        <v>0.66537909812298612</v>
      </c>
      <c r="AE11" s="7">
        <v>233.96934471721497</v>
      </c>
      <c r="AF11" s="7">
        <v>149.65780287031924</v>
      </c>
      <c r="AG11" s="7">
        <v>0</v>
      </c>
      <c r="AH11" s="7">
        <v>795.59999999999991</v>
      </c>
      <c r="AI11" s="7">
        <v>647.88068022945959</v>
      </c>
      <c r="AJ11" s="7">
        <v>90.840297080332789</v>
      </c>
      <c r="AK11" s="7">
        <v>707.77048725273676</v>
      </c>
      <c r="AL11" s="7">
        <v>484.46696621767734</v>
      </c>
      <c r="AM11" s="7">
        <v>34.666666666666664</v>
      </c>
      <c r="AN11" s="7">
        <v>0.70292763833168392</v>
      </c>
      <c r="AO11" s="7">
        <v>24.368158128831709</v>
      </c>
      <c r="AP11" s="7">
        <v>3.6201419401333328</v>
      </c>
      <c r="AQ11" s="7">
        <v>0.5</v>
      </c>
      <c r="AR11" s="7">
        <v>0.9747263251532684</v>
      </c>
      <c r="AS11" s="7">
        <v>0.4873631625766342</v>
      </c>
      <c r="AT11" s="7">
        <v>68.843664098428846</v>
      </c>
      <c r="AU11" s="7">
        <v>47.209348436759434</v>
      </c>
      <c r="AV11" s="7">
        <v>3.2919597133087142</v>
      </c>
      <c r="AW11" s="7">
        <v>3.6412530986893348</v>
      </c>
      <c r="AX11" s="7">
        <v>72.484917197118179</v>
      </c>
      <c r="AY11" s="7">
        <v>10.883804728290372</v>
      </c>
      <c r="AZ11" s="7">
        <v>50.850601535448767</v>
      </c>
      <c r="BA11" s="7">
        <v>5.4419023641451858</v>
      </c>
      <c r="BB11" s="7">
        <v>0.55000000000000004</v>
      </c>
      <c r="BC11" s="7">
        <v>40.256470267066618</v>
      </c>
      <c r="BD11" s="7">
        <v>16.996652158072489</v>
      </c>
      <c r="BE11" s="7">
        <v>0.68771125922731191</v>
      </c>
      <c r="BF11" s="7">
        <v>4.8865512575999999</v>
      </c>
      <c r="BG11" s="7">
        <v>3.2305751316380364</v>
      </c>
      <c r="BH11" s="7">
        <v>0</v>
      </c>
      <c r="BI11" s="7">
        <v>41.599999999999994</v>
      </c>
      <c r="BJ11" s="7">
        <v>225.39307575699289</v>
      </c>
      <c r="BK11" s="7">
        <v>76.689946666666643</v>
      </c>
      <c r="BL11" s="7">
        <v>302.08302242365954</v>
      </c>
      <c r="BM11" s="7">
        <v>182.95108608415785</v>
      </c>
      <c r="BN11" s="19"/>
      <c r="BO11" s="7"/>
      <c r="BP11" s="7"/>
      <c r="BQ11" s="7"/>
      <c r="BR11" s="7"/>
    </row>
    <row r="12" spans="1:70" x14ac:dyDescent="0.3">
      <c r="A12" s="7">
        <v>9</v>
      </c>
      <c r="B12" s="7">
        <v>2.1666666666666665</v>
      </c>
      <c r="C12" s="7">
        <v>3.6870166666666662</v>
      </c>
      <c r="D12" s="7">
        <v>6.8067999999999991</v>
      </c>
      <c r="E12" s="7">
        <v>19</v>
      </c>
      <c r="F12" s="7">
        <v>46.423886000000003</v>
      </c>
      <c r="G12" s="7" t="s">
        <v>13</v>
      </c>
      <c r="H12" s="7">
        <v>5.1700158335999999</v>
      </c>
      <c r="I12" s="7">
        <v>0.68407418641551776</v>
      </c>
      <c r="J12" s="7">
        <v>9.69</v>
      </c>
      <c r="K12" s="7">
        <v>6.6286788663663669</v>
      </c>
      <c r="L12" s="7">
        <v>17.562911834457175</v>
      </c>
      <c r="M12" s="7">
        <v>0.5</v>
      </c>
      <c r="N12" s="7">
        <v>19.38</v>
      </c>
      <c r="O12" s="7">
        <v>945.82796012307767</v>
      </c>
      <c r="P12" s="7">
        <v>129.13094873084623</v>
      </c>
      <c r="Q12" s="7">
        <v>92.565495458377001</v>
      </c>
      <c r="R12" s="7">
        <v>34.620508640896247</v>
      </c>
      <c r="S12" s="7">
        <v>187.07593554832698</v>
      </c>
      <c r="T12" s="7">
        <v>125.0121727524886</v>
      </c>
      <c r="U12" s="7">
        <v>9.69</v>
      </c>
      <c r="V12" s="7">
        <v>354.6854850461541</v>
      </c>
      <c r="W12" s="7">
        <v>69.979941031550027</v>
      </c>
      <c r="X12" s="7">
        <v>34.712060796891372</v>
      </c>
      <c r="Y12" s="7">
        <v>34.620508640896247</v>
      </c>
      <c r="Z12" s="7">
        <v>70.071493187545144</v>
      </c>
      <c r="AA12" s="7">
        <v>83.606467362981263</v>
      </c>
      <c r="AB12" s="7">
        <v>48.449999999999996</v>
      </c>
      <c r="AC12" s="7">
        <v>0.55000000000000004</v>
      </c>
      <c r="AD12" s="7">
        <v>0.60488529193181051</v>
      </c>
      <c r="AE12" s="7">
        <v>247.54170231688474</v>
      </c>
      <c r="AF12" s="7">
        <v>145.62947512680657</v>
      </c>
      <c r="AG12" s="7">
        <v>0</v>
      </c>
      <c r="AH12" s="7">
        <v>581.4</v>
      </c>
      <c r="AI12" s="7">
        <v>798.95034146476428</v>
      </c>
      <c r="AJ12" s="7">
        <v>66.383294020243198</v>
      </c>
      <c r="AK12" s="7">
        <v>830.71312684411123</v>
      </c>
      <c r="AL12" s="7">
        <v>593.88574766623117</v>
      </c>
      <c r="AM12" s="7">
        <v>25.333333333333332</v>
      </c>
      <c r="AN12" s="7">
        <v>0.68407418641551776</v>
      </c>
      <c r="AO12" s="7">
        <v>17.329879389193117</v>
      </c>
      <c r="AP12" s="7">
        <v>2.6454883408666663</v>
      </c>
      <c r="AQ12" s="7">
        <v>0.5</v>
      </c>
      <c r="AR12" s="7">
        <v>0.6931951755677247</v>
      </c>
      <c r="AS12" s="7">
        <v>0.34659758778386235</v>
      </c>
      <c r="AT12" s="7">
        <v>75.80986646857329</v>
      </c>
      <c r="AU12" s="7">
        <v>50.692449621831656</v>
      </c>
      <c r="AV12" s="7">
        <v>33.830927702496375</v>
      </c>
      <c r="AW12" s="7">
        <v>37.420558286369747</v>
      </c>
      <c r="AX12" s="7">
        <v>113.23042475494304</v>
      </c>
      <c r="AY12" s="7">
        <v>5.8051686417870334</v>
      </c>
      <c r="AZ12" s="7">
        <v>88.113007908201411</v>
      </c>
      <c r="BA12" s="7">
        <v>2.9025843208935167</v>
      </c>
      <c r="BB12" s="7">
        <v>0.55000000000000004</v>
      </c>
      <c r="BC12" s="7">
        <v>38.894865707881848</v>
      </c>
      <c r="BD12" s="7">
        <v>13.22475359351499</v>
      </c>
      <c r="BE12" s="7">
        <v>0.55093721119451844</v>
      </c>
      <c r="BF12" s="7">
        <v>5.1700158335999999</v>
      </c>
      <c r="BG12" s="7">
        <v>2.7702685137081491</v>
      </c>
      <c r="BH12" s="7">
        <v>0</v>
      </c>
      <c r="BI12" s="7">
        <v>30.4</v>
      </c>
      <c r="BJ12" s="7">
        <v>276.43227544885821</v>
      </c>
      <c r="BK12" s="7">
        <v>56.04265333333332</v>
      </c>
      <c r="BL12" s="7">
        <v>332.47492878219151</v>
      </c>
      <c r="BM12" s="7">
        <v>224.71043128659312</v>
      </c>
      <c r="BN12" s="19"/>
      <c r="BO12" s="7"/>
      <c r="BP12" s="7"/>
      <c r="BQ12" s="7"/>
      <c r="BR12" s="7"/>
    </row>
    <row r="13" spans="1:70" x14ac:dyDescent="0.3">
      <c r="A13" s="7">
        <v>10</v>
      </c>
      <c r="B13" s="7">
        <v>2.1666666666666665</v>
      </c>
      <c r="C13" s="7">
        <v>3.6870166666666662</v>
      </c>
      <c r="D13" s="7">
        <v>6.8067999999999991</v>
      </c>
      <c r="E13" s="7">
        <v>19</v>
      </c>
      <c r="F13" s="7">
        <v>52.985565999999992</v>
      </c>
      <c r="G13" s="7" t="s">
        <v>13</v>
      </c>
      <c r="H13" s="7">
        <v>5.5479686015999992</v>
      </c>
      <c r="I13" s="7">
        <v>0.66048400370661942</v>
      </c>
      <c r="J13" s="7">
        <v>9.69</v>
      </c>
      <c r="K13" s="7">
        <v>6.400089995917142</v>
      </c>
      <c r="L13" s="7">
        <v>17.46004491096209</v>
      </c>
      <c r="M13" s="7">
        <v>0.5</v>
      </c>
      <c r="N13" s="7">
        <v>19.38</v>
      </c>
      <c r="O13" s="7">
        <v>2119.6620376615369</v>
      </c>
      <c r="P13" s="7">
        <v>152.10691001647692</v>
      </c>
      <c r="Q13" s="7">
        <v>207.44530188653047</v>
      </c>
      <c r="R13" s="7">
        <v>39.51386675268369</v>
      </c>
      <c r="S13" s="7">
        <v>320.03834515032372</v>
      </c>
      <c r="T13" s="7">
        <v>145.98870376421752</v>
      </c>
      <c r="U13" s="7">
        <v>9.69</v>
      </c>
      <c r="V13" s="7">
        <v>794.87326412307641</v>
      </c>
      <c r="W13" s="7">
        <v>81.467921674365371</v>
      </c>
      <c r="X13" s="7">
        <v>77.791988207448938</v>
      </c>
      <c r="Y13" s="7">
        <v>39.51386675268369</v>
      </c>
      <c r="Z13" s="7">
        <v>119.74604312913061</v>
      </c>
      <c r="AA13" s="7">
        <v>96.541411924739435</v>
      </c>
      <c r="AB13" s="7">
        <v>48.449999999999996</v>
      </c>
      <c r="AC13" s="7">
        <v>0.55000000000000004</v>
      </c>
      <c r="AD13" s="7">
        <v>0.54822868747266806</v>
      </c>
      <c r="AE13" s="7">
        <v>265.63817911644435</v>
      </c>
      <c r="AF13" s="7">
        <v>140.66996641778672</v>
      </c>
      <c r="AG13" s="7">
        <v>0</v>
      </c>
      <c r="AH13" s="7">
        <v>581.4</v>
      </c>
      <c r="AI13" s="7">
        <v>993.51685262113051</v>
      </c>
      <c r="AJ13" s="7">
        <v>66.383294020243198</v>
      </c>
      <c r="AK13" s="7">
        <v>1020.3862798886901</v>
      </c>
      <c r="AL13" s="7">
        <v>734.97566358747508</v>
      </c>
      <c r="AM13" s="7">
        <v>25.333333333333332</v>
      </c>
      <c r="AN13" s="7">
        <v>0.66048400370661942</v>
      </c>
      <c r="AO13" s="7">
        <v>16.732261427234359</v>
      </c>
      <c r="AP13" s="7">
        <v>2.6454883408666663</v>
      </c>
      <c r="AQ13" s="7">
        <v>0.5</v>
      </c>
      <c r="AR13" s="7">
        <v>0.6692904570893744</v>
      </c>
      <c r="AS13" s="7">
        <v>0.3346452285446872</v>
      </c>
      <c r="AT13" s="7">
        <v>84.777831880185857</v>
      </c>
      <c r="AU13" s="7">
        <v>55.17643232763794</v>
      </c>
      <c r="AV13" s="7">
        <v>73.202764399457436</v>
      </c>
      <c r="AW13" s="7">
        <v>80.969943716061849</v>
      </c>
      <c r="AX13" s="7">
        <v>165.74777559624772</v>
      </c>
      <c r="AY13" s="7">
        <v>7.4733045096771429</v>
      </c>
      <c r="AZ13" s="7">
        <v>136.14637604369977</v>
      </c>
      <c r="BA13" s="7">
        <v>3.7366522548385714</v>
      </c>
      <c r="BB13" s="7">
        <v>0.55000000000000004</v>
      </c>
      <c r="BC13" s="7">
        <v>38.754674700898001</v>
      </c>
      <c r="BD13" s="7">
        <v>13.22475359351499</v>
      </c>
      <c r="BE13" s="7">
        <v>0.52847946679241853</v>
      </c>
      <c r="BF13" s="7">
        <v>5.5479686015999992</v>
      </c>
      <c r="BG13" s="7">
        <v>2.8321173497019685</v>
      </c>
      <c r="BH13" s="7">
        <v>0</v>
      </c>
      <c r="BI13" s="7">
        <v>30.4</v>
      </c>
      <c r="BJ13" s="7">
        <v>346.00387220778197</v>
      </c>
      <c r="BK13" s="7">
        <v>56.04265333333332</v>
      </c>
      <c r="BL13" s="7">
        <v>402.04652554111527</v>
      </c>
      <c r="BM13" s="7">
        <v>281.63264681662167</v>
      </c>
      <c r="BN13" s="19"/>
      <c r="BO13" s="7"/>
      <c r="BP13" s="7"/>
      <c r="BQ13" s="7"/>
      <c r="BR13" s="7"/>
    </row>
    <row r="14" spans="1:70" x14ac:dyDescent="0.3">
      <c r="A14" s="7">
        <v>11</v>
      </c>
      <c r="B14" s="7">
        <v>2.1666666666666665</v>
      </c>
      <c r="C14" s="7">
        <v>3.6870166666666662</v>
      </c>
      <c r="D14" s="7">
        <v>6.8067999999999991</v>
      </c>
      <c r="E14" s="7">
        <v>13</v>
      </c>
      <c r="F14" s="7">
        <v>59.875329999999998</v>
      </c>
      <c r="G14" s="7" t="s">
        <v>53</v>
      </c>
      <c r="H14" s="7">
        <v>5.9448190079999996</v>
      </c>
      <c r="I14" s="7">
        <v>0.63738459140603831</v>
      </c>
      <c r="J14" s="7">
        <v>6.63</v>
      </c>
      <c r="K14" s="7">
        <v>4.225859841022034</v>
      </c>
      <c r="L14" s="7">
        <v>16.722220517217398</v>
      </c>
      <c r="M14" s="7">
        <v>0.5</v>
      </c>
      <c r="N14" s="7">
        <v>11.270999999999999</v>
      </c>
      <c r="O14" s="7">
        <v>119.02769639999963</v>
      </c>
      <c r="P14" s="7">
        <v>166.13736216471537</v>
      </c>
      <c r="Q14" s="7">
        <v>11.648902501361372</v>
      </c>
      <c r="R14" s="7">
        <v>44.65189277006052</v>
      </c>
      <c r="S14" s="7">
        <v>133.13437189601621</v>
      </c>
      <c r="T14" s="7">
        <v>160.94804628536127</v>
      </c>
      <c r="U14" s="7">
        <v>5.9669999999999996</v>
      </c>
      <c r="V14" s="7">
        <v>39.675898799999878</v>
      </c>
      <c r="W14" s="7">
        <v>88.895808105785733</v>
      </c>
      <c r="X14" s="7">
        <v>3.8829675004537907</v>
      </c>
      <c r="Y14" s="7">
        <v>44.65189277006052</v>
      </c>
      <c r="Z14" s="7">
        <v>48.126882836179</v>
      </c>
      <c r="AA14" s="7">
        <v>106.87895844411054</v>
      </c>
      <c r="AB14" s="7">
        <v>33.15</v>
      </c>
      <c r="AC14" s="7">
        <v>0.55000000000000004</v>
      </c>
      <c r="AD14" s="7">
        <v>0.48587726837428596</v>
      </c>
      <c r="AE14" s="7">
        <v>284.63947975598205</v>
      </c>
      <c r="AF14" s="7">
        <v>133.68370287016586</v>
      </c>
      <c r="AG14" s="7">
        <v>0</v>
      </c>
      <c r="AH14" s="7">
        <v>397.79999999999995</v>
      </c>
      <c r="AI14" s="7">
        <v>1187.6655465086048</v>
      </c>
      <c r="AJ14" s="7">
        <v>45.420148540166394</v>
      </c>
      <c r="AK14" s="7">
        <v>1188.4338022787106</v>
      </c>
      <c r="AL14" s="7">
        <v>876.01777532608389</v>
      </c>
      <c r="AM14" s="7">
        <v>17.333333333333332</v>
      </c>
      <c r="AN14" s="7">
        <v>0.63738459140603831</v>
      </c>
      <c r="AO14" s="7">
        <v>11.047999584371331</v>
      </c>
      <c r="AP14" s="7">
        <v>1.8100709700666664</v>
      </c>
      <c r="AQ14" s="7">
        <v>0.5</v>
      </c>
      <c r="AR14" s="7">
        <v>0.44191998337485322</v>
      </c>
      <c r="AS14" s="7">
        <v>0.22095999168742661</v>
      </c>
      <c r="AT14" s="7">
        <v>90.995280878313025</v>
      </c>
      <c r="AU14" s="7">
        <v>58.285156826701524</v>
      </c>
      <c r="AV14" s="7">
        <v>5.2891621532664574</v>
      </c>
      <c r="AW14" s="7">
        <v>5.8503687035387939</v>
      </c>
      <c r="AX14" s="7">
        <v>96.845649581851816</v>
      </c>
      <c r="AY14" s="7">
        <v>5.1812074984393028</v>
      </c>
      <c r="AZ14" s="7">
        <v>64.135525530240315</v>
      </c>
      <c r="BA14" s="7">
        <v>2.5906037492196514</v>
      </c>
      <c r="BB14" s="7">
        <v>0.55000000000000004</v>
      </c>
      <c r="BC14" s="7">
        <v>37.096480365643892</v>
      </c>
      <c r="BD14" s="7">
        <v>5.5177621051596422</v>
      </c>
      <c r="BE14" s="7">
        <v>0.29283073431654549</v>
      </c>
      <c r="BF14" s="7">
        <v>5.9448190079999996</v>
      </c>
      <c r="BG14" s="7">
        <v>1.6827207175316317</v>
      </c>
      <c r="BH14" s="7">
        <v>0</v>
      </c>
      <c r="BI14" s="7">
        <v>20.799999999999997</v>
      </c>
      <c r="BJ14" s="7">
        <v>389.40710392479866</v>
      </c>
      <c r="BK14" s="7">
        <v>38.344973333333321</v>
      </c>
      <c r="BL14" s="7">
        <v>427.75207725813198</v>
      </c>
      <c r="BM14" s="7">
        <v>317.14438185781717</v>
      </c>
      <c r="BN14" s="19"/>
      <c r="BO14" s="7"/>
      <c r="BP14" s="7"/>
      <c r="BQ14" s="7"/>
      <c r="BR14" s="7"/>
    </row>
    <row r="15" spans="1:70" x14ac:dyDescent="0.3">
      <c r="A15" s="7">
        <v>12</v>
      </c>
      <c r="B15" s="7">
        <v>2.1666666666666665</v>
      </c>
      <c r="C15" s="7">
        <v>3.6870166666666662</v>
      </c>
      <c r="D15" s="7">
        <v>6.8067999999999991</v>
      </c>
      <c r="E15" s="7">
        <v>13</v>
      </c>
      <c r="F15" s="7">
        <v>66.765094000000005</v>
      </c>
      <c r="G15" s="7" t="s">
        <v>53</v>
      </c>
      <c r="H15" s="7">
        <v>6.3416694144000001</v>
      </c>
      <c r="I15" s="7">
        <v>0.61577846392919577</v>
      </c>
      <c r="J15" s="7">
        <v>6.63</v>
      </c>
      <c r="K15" s="7">
        <v>4.0826112158505676</v>
      </c>
      <c r="L15" s="7">
        <v>16.098027544286992</v>
      </c>
      <c r="M15" s="7">
        <v>0.5</v>
      </c>
      <c r="N15" s="7">
        <v>11.270999999999999</v>
      </c>
      <c r="O15" s="7">
        <v>751.50803160000032</v>
      </c>
      <c r="P15" s="7">
        <v>180.16781431295382</v>
      </c>
      <c r="Q15" s="7">
        <v>73.547956096531095</v>
      </c>
      <c r="R15" s="7">
        <v>49.789918787437351</v>
      </c>
      <c r="S15" s="7">
        <v>203.92585162204756</v>
      </c>
      <c r="T15" s="7">
        <v>175.90738880650503</v>
      </c>
      <c r="U15" s="7">
        <v>5.9669999999999996</v>
      </c>
      <c r="V15" s="7">
        <v>250.50267720000008</v>
      </c>
      <c r="W15" s="7">
        <v>96.323694537206094</v>
      </c>
      <c r="X15" s="7">
        <v>24.51598536551036</v>
      </c>
      <c r="Y15" s="7">
        <v>49.789918787437351</v>
      </c>
      <c r="Z15" s="7">
        <v>71.049761115279097</v>
      </c>
      <c r="AA15" s="7">
        <v>117.21650496348161</v>
      </c>
      <c r="AB15" s="7">
        <v>33.15</v>
      </c>
      <c r="AC15" s="7">
        <v>0.55000000000000004</v>
      </c>
      <c r="AD15" s="7">
        <v>0.42575102341216997</v>
      </c>
      <c r="AE15" s="7">
        <v>303.64078039551976</v>
      </c>
      <c r="AF15" s="7">
        <v>125.23046140633974</v>
      </c>
      <c r="AG15" s="7">
        <v>0</v>
      </c>
      <c r="AH15" s="7">
        <v>397.79999999999995</v>
      </c>
      <c r="AI15" s="7">
        <v>1369.5376071634464</v>
      </c>
      <c r="AJ15" s="7">
        <v>45.420148540166394</v>
      </c>
      <c r="AK15" s="7">
        <v>1365.1678369161755</v>
      </c>
      <c r="AL15" s="7">
        <v>1008.4662438018498</v>
      </c>
      <c r="AM15" s="7">
        <v>17.333333333333332</v>
      </c>
      <c r="AN15" s="7">
        <v>0.61577846392919577</v>
      </c>
      <c r="AO15" s="7">
        <v>10.673493374772725</v>
      </c>
      <c r="AP15" s="7">
        <v>1.8100709700666664</v>
      </c>
      <c r="AQ15" s="7">
        <v>0.5</v>
      </c>
      <c r="AR15" s="7">
        <v>0.42693973499090904</v>
      </c>
      <c r="AS15" s="7">
        <v>0.21346986749545452</v>
      </c>
      <c r="AT15" s="7">
        <v>97.001970160178516</v>
      </c>
      <c r="AU15" s="7">
        <v>61.288501467634269</v>
      </c>
      <c r="AV15" s="7">
        <v>32.262306672181381</v>
      </c>
      <c r="AW15" s="7">
        <v>35.685498721633181</v>
      </c>
      <c r="AX15" s="7">
        <v>132.6874688818117</v>
      </c>
      <c r="AY15" s="7">
        <v>5.0055744015545702</v>
      </c>
      <c r="AZ15" s="7">
        <v>96.974000189267457</v>
      </c>
      <c r="BA15" s="7">
        <v>2.5027872007772851</v>
      </c>
      <c r="BB15" s="7">
        <v>0.55000000000000004</v>
      </c>
      <c r="BC15" s="7">
        <v>36.958716197296141</v>
      </c>
      <c r="BD15" s="7">
        <v>5.5177621051596422</v>
      </c>
      <c r="BE15" s="7">
        <v>0.28127862464542597</v>
      </c>
      <c r="BF15" s="7">
        <v>6.3416694144000001</v>
      </c>
      <c r="BG15" s="7">
        <v>1.7279632825873106</v>
      </c>
      <c r="BH15" s="7">
        <v>0</v>
      </c>
      <c r="BI15" s="7">
        <v>20.799999999999997</v>
      </c>
      <c r="BJ15" s="7">
        <v>433.97729906844052</v>
      </c>
      <c r="BK15" s="7">
        <v>38.344973333333321</v>
      </c>
      <c r="BL15" s="7">
        <v>472.32227240177383</v>
      </c>
      <c r="BM15" s="7">
        <v>353.61090515716046</v>
      </c>
      <c r="BN15" s="19"/>
      <c r="BO15" s="7"/>
      <c r="BP15" s="7"/>
      <c r="BQ15" s="7"/>
      <c r="BR15" s="7"/>
    </row>
    <row r="16" spans="1:70" x14ac:dyDescent="0.3">
      <c r="A16" s="7">
        <v>13</v>
      </c>
      <c r="B16" s="7">
        <v>2.1666666666666665</v>
      </c>
      <c r="C16" s="7">
        <v>3.6870166666666662</v>
      </c>
      <c r="D16" s="7">
        <v>6.8067999999999991</v>
      </c>
      <c r="E16" s="7">
        <v>23</v>
      </c>
      <c r="F16" s="7">
        <v>72.342522000000002</v>
      </c>
      <c r="G16" s="7" t="s">
        <v>13</v>
      </c>
      <c r="H16" s="7">
        <v>6.6629292672</v>
      </c>
      <c r="I16" s="7">
        <v>0.59925600607398366</v>
      </c>
      <c r="J16" s="7">
        <v>11.73</v>
      </c>
      <c r="K16" s="7">
        <v>7.0292729512478287</v>
      </c>
      <c r="L16" s="7">
        <v>16.273744836412572</v>
      </c>
      <c r="M16" s="7">
        <v>0.5</v>
      </c>
      <c r="N16" s="7">
        <v>23.46</v>
      </c>
      <c r="O16" s="7">
        <v>343.7385186461533</v>
      </c>
      <c r="P16" s="7">
        <v>203.80886921474755</v>
      </c>
      <c r="Q16" s="7">
        <v>33.640712294516355</v>
      </c>
      <c r="R16" s="7">
        <v>53.949273182456686</v>
      </c>
      <c r="S16" s="7">
        <v>183.50030832680721</v>
      </c>
      <c r="T16" s="7">
        <v>196.61548163277996</v>
      </c>
      <c r="U16" s="7">
        <v>11.73</v>
      </c>
      <c r="V16" s="7">
        <v>128.90194449230748</v>
      </c>
      <c r="W16" s="7">
        <v>108.14422198810296</v>
      </c>
      <c r="X16" s="7">
        <v>12.615267110443632</v>
      </c>
      <c r="Y16" s="7">
        <v>53.949273182456686</v>
      </c>
      <c r="Z16" s="7">
        <v>66.810215916089902</v>
      </c>
      <c r="AA16" s="7">
        <v>129.65022857412876</v>
      </c>
      <c r="AB16" s="7">
        <v>58.650000000000006</v>
      </c>
      <c r="AC16" s="7">
        <v>0.55000000000000004</v>
      </c>
      <c r="AD16" s="7">
        <v>0.37411450369053956</v>
      </c>
      <c r="AE16" s="7">
        <v>319.02278567514549</v>
      </c>
      <c r="AF16" s="7">
        <v>116.4737354933542</v>
      </c>
      <c r="AG16" s="7">
        <v>0</v>
      </c>
      <c r="AH16" s="7">
        <v>703.8</v>
      </c>
      <c r="AI16" s="7">
        <v>1506.4723459238023</v>
      </c>
      <c r="AJ16" s="7">
        <v>80.358724340294387</v>
      </c>
      <c r="AK16" s="7">
        <v>1532.8817970816401</v>
      </c>
      <c r="AL16" s="7">
        <v>1108.4799153291183</v>
      </c>
      <c r="AM16" s="7">
        <v>30.666666666666668</v>
      </c>
      <c r="AN16" s="7">
        <v>0.59925600607398366</v>
      </c>
      <c r="AO16" s="7">
        <v>18.377184186268831</v>
      </c>
      <c r="AP16" s="7">
        <v>3.2024332547333332</v>
      </c>
      <c r="AQ16" s="7">
        <v>0.5</v>
      </c>
      <c r="AR16" s="7">
        <v>0.7350873674507532</v>
      </c>
      <c r="AS16" s="7">
        <v>0.3675436837253766</v>
      </c>
      <c r="AT16" s="7">
        <v>105.37412355574335</v>
      </c>
      <c r="AU16" s="7">
        <v>65.474578165416688</v>
      </c>
      <c r="AV16" s="7">
        <v>10.77058153295066</v>
      </c>
      <c r="AW16" s="7">
        <v>11.913394086504388</v>
      </c>
      <c r="AX16" s="7">
        <v>117.28751764224774</v>
      </c>
      <c r="AY16" s="7">
        <v>6.9767944963040316</v>
      </c>
      <c r="AZ16" s="7">
        <v>77.38797225192107</v>
      </c>
      <c r="BA16" s="7">
        <v>3.4883972481520158</v>
      </c>
      <c r="BB16" s="7">
        <v>0.55000000000000004</v>
      </c>
      <c r="BC16" s="7">
        <v>39.129271006901895</v>
      </c>
      <c r="BD16" s="7">
        <v>15.40873467179979</v>
      </c>
      <c r="BE16" s="7">
        <v>0.51734032386041917</v>
      </c>
      <c r="BF16" s="7">
        <v>6.6629292672</v>
      </c>
      <c r="BG16" s="7">
        <v>3.3639016468068621</v>
      </c>
      <c r="BH16" s="7">
        <v>0</v>
      </c>
      <c r="BI16" s="7">
        <v>36.799999999999997</v>
      </c>
      <c r="BJ16" s="7">
        <v>504.21704658208489</v>
      </c>
      <c r="BK16" s="7">
        <v>67.841106666666647</v>
      </c>
      <c r="BL16" s="7">
        <v>572.05815324875152</v>
      </c>
      <c r="BM16" s="7">
        <v>411.07978948650583</v>
      </c>
      <c r="BN16" s="19"/>
      <c r="BO16" s="7"/>
      <c r="BP16" s="7"/>
      <c r="BQ16" s="7"/>
      <c r="BR16" s="7"/>
    </row>
    <row r="17" spans="1:70" x14ac:dyDescent="0.3">
      <c r="A17" s="7">
        <v>14</v>
      </c>
      <c r="B17" s="7">
        <v>2.1666666666666665</v>
      </c>
      <c r="C17" s="7">
        <v>3.6870166666666662</v>
      </c>
      <c r="D17" s="7">
        <v>6.8067999999999991</v>
      </c>
      <c r="E17" s="7">
        <v>29</v>
      </c>
      <c r="F17" s="7">
        <v>78.904201999999998</v>
      </c>
      <c r="G17" s="7" t="s">
        <v>13</v>
      </c>
      <c r="H17" s="7">
        <v>7.0408820351999992</v>
      </c>
      <c r="I17" s="7">
        <v>0.58080869391222145</v>
      </c>
      <c r="J17" s="7">
        <v>14.790000000000001</v>
      </c>
      <c r="K17" s="7">
        <v>8.5901605829617562</v>
      </c>
      <c r="L17" s="7">
        <v>16.788022701542996</v>
      </c>
      <c r="M17" s="7">
        <v>0.5</v>
      </c>
      <c r="N17" s="7">
        <v>29.580000000000002</v>
      </c>
      <c r="O17" s="7">
        <v>2225.050923323075</v>
      </c>
      <c r="P17" s="7">
        <v>238.87744170334179</v>
      </c>
      <c r="Q17" s="7">
        <v>217.75941272736148</v>
      </c>
      <c r="R17" s="7">
        <v>58.842631294244143</v>
      </c>
      <c r="S17" s="7">
        <v>397.7942231364591</v>
      </c>
      <c r="T17" s="7">
        <v>226.05684048658338</v>
      </c>
      <c r="U17" s="7">
        <v>14.790000000000001</v>
      </c>
      <c r="V17" s="7">
        <v>834.39409624615325</v>
      </c>
      <c r="W17" s="7">
        <v>125.67850823240008</v>
      </c>
      <c r="X17" s="7">
        <v>81.659779772760572</v>
      </c>
      <c r="Y17" s="7">
        <v>58.842631294244143</v>
      </c>
      <c r="Z17" s="7">
        <v>148.49565671091651</v>
      </c>
      <c r="AA17" s="7">
        <v>146.8175870569242</v>
      </c>
      <c r="AB17" s="7">
        <v>73.95</v>
      </c>
      <c r="AC17" s="7">
        <v>0.55000000000000004</v>
      </c>
      <c r="AD17" s="7">
        <v>0.32601713281240768</v>
      </c>
      <c r="AE17" s="7">
        <v>337.11926247470512</v>
      </c>
      <c r="AF17" s="7">
        <v>106.95677462773753</v>
      </c>
      <c r="AG17" s="7">
        <v>0</v>
      </c>
      <c r="AH17" s="7">
        <v>887.4</v>
      </c>
      <c r="AI17" s="7">
        <v>1654.4087321602988</v>
      </c>
      <c r="AJ17" s="7">
        <v>101.32186982037119</v>
      </c>
      <c r="AK17" s="7">
        <v>1696.8879706864259</v>
      </c>
      <c r="AL17" s="7">
        <v>1216.928743806453</v>
      </c>
      <c r="AM17" s="7">
        <v>38.666666666666664</v>
      </c>
      <c r="AN17" s="7">
        <v>0.58080869391222145</v>
      </c>
      <c r="AO17" s="7">
        <v>22.457936164605893</v>
      </c>
      <c r="AP17" s="7">
        <v>4.0378506255333333</v>
      </c>
      <c r="AQ17" s="7">
        <v>0.5</v>
      </c>
      <c r="AR17" s="7">
        <v>0.89831744658423573</v>
      </c>
      <c r="AS17" s="7">
        <v>0.44915872329211787</v>
      </c>
      <c r="AT17" s="7">
        <v>117.41087038857587</v>
      </c>
      <c r="AU17" s="7">
        <v>71.492951581832955</v>
      </c>
      <c r="AV17" s="7">
        <v>67.572754021618692</v>
      </c>
      <c r="AW17" s="7">
        <v>74.742561087082535</v>
      </c>
      <c r="AX17" s="7">
        <v>192.15343147565841</v>
      </c>
      <c r="AY17" s="7">
        <v>10.030622360693769</v>
      </c>
      <c r="AZ17" s="7">
        <v>146.23551266891548</v>
      </c>
      <c r="BA17" s="7">
        <v>5.0153111803468846</v>
      </c>
      <c r="BB17" s="7">
        <v>0.55000000000000004</v>
      </c>
      <c r="BC17" s="7">
        <v>39.930362706273812</v>
      </c>
      <c r="BD17" s="7">
        <v>18.548257073857847</v>
      </c>
      <c r="BE17" s="7">
        <v>0.5680634155795663</v>
      </c>
      <c r="BF17" s="7">
        <v>7.0408820351999992</v>
      </c>
      <c r="BG17" s="7">
        <v>3.8923169274496043</v>
      </c>
      <c r="BH17" s="7">
        <v>0</v>
      </c>
      <c r="BI17" s="7">
        <v>46.4</v>
      </c>
      <c r="BJ17" s="7">
        <v>599.83268332925354</v>
      </c>
      <c r="BK17" s="7">
        <v>85.538786666666653</v>
      </c>
      <c r="BL17" s="7">
        <v>685.37146999592017</v>
      </c>
      <c r="BM17" s="7">
        <v>489.31076500691648</v>
      </c>
      <c r="BN17" s="19"/>
      <c r="BO17" s="7"/>
      <c r="BP17" s="7"/>
      <c r="BQ17" s="7"/>
      <c r="BR17" s="7"/>
    </row>
    <row r="18" spans="1:70" x14ac:dyDescent="0.3">
      <c r="A18" s="7">
        <v>15</v>
      </c>
      <c r="B18" s="7">
        <v>2.1666666666666665</v>
      </c>
      <c r="C18" s="7">
        <v>3.6870166666666662</v>
      </c>
      <c r="D18" s="7">
        <v>6.8067999999999991</v>
      </c>
      <c r="E18" s="7">
        <v>28</v>
      </c>
      <c r="F18" s="7">
        <v>85.465882000000008</v>
      </c>
      <c r="G18" s="7" t="s">
        <v>13</v>
      </c>
      <c r="H18" s="7">
        <v>7.4188348032000002</v>
      </c>
      <c r="I18" s="7">
        <v>0.56332619704028586</v>
      </c>
      <c r="J18" s="7">
        <v>14.280000000000001</v>
      </c>
      <c r="K18" s="7">
        <v>8.0442980937352822</v>
      </c>
      <c r="L18" s="7">
        <v>17.113767191981463</v>
      </c>
      <c r="M18" s="7">
        <v>0.5</v>
      </c>
      <c r="N18" s="7">
        <v>28.560000000000002</v>
      </c>
      <c r="O18" s="7">
        <v>3878.1857752615397</v>
      </c>
      <c r="P18" s="7">
        <v>272.73675307163978</v>
      </c>
      <c r="Q18" s="7">
        <v>379.5470243023907</v>
      </c>
      <c r="R18" s="7">
        <v>63.735989406031599</v>
      </c>
      <c r="S18" s="7">
        <v>588.54778796799883</v>
      </c>
      <c r="T18" s="7">
        <v>254.65171655617942</v>
      </c>
      <c r="U18" s="7">
        <v>14.280000000000001</v>
      </c>
      <c r="V18" s="7">
        <v>1454.3196657230774</v>
      </c>
      <c r="W18" s="7">
        <v>142.60816391654907</v>
      </c>
      <c r="X18" s="7">
        <v>142.3301341133965</v>
      </c>
      <c r="Y18" s="7">
        <v>63.735989406031599</v>
      </c>
      <c r="Z18" s="7">
        <v>221.20230862391401</v>
      </c>
      <c r="AA18" s="7">
        <v>163.56170414761596</v>
      </c>
      <c r="AB18" s="7">
        <v>71.400000000000006</v>
      </c>
      <c r="AC18" s="7">
        <v>0.55000000000000004</v>
      </c>
      <c r="AD18" s="7">
        <v>0.27614445687001088</v>
      </c>
      <c r="AE18" s="7">
        <v>355.21573927426482</v>
      </c>
      <c r="AF18" s="7">
        <v>95.592236515033662</v>
      </c>
      <c r="AG18" s="7">
        <v>0</v>
      </c>
      <c r="AH18" s="7">
        <v>856.80000000000007</v>
      </c>
      <c r="AI18" s="7">
        <v>1786.6263506470025</v>
      </c>
      <c r="AJ18" s="7">
        <v>97.828012240358404</v>
      </c>
      <c r="AK18" s="7">
        <v>1820.7183734813293</v>
      </c>
      <c r="AL18" s="7">
        <v>1314.3744348589332</v>
      </c>
      <c r="AM18" s="7">
        <v>37.333333333333336</v>
      </c>
      <c r="AN18" s="7">
        <v>0.56332619704028586</v>
      </c>
      <c r="AO18" s="7">
        <v>21.030844689504008</v>
      </c>
      <c r="AP18" s="7">
        <v>3.8986143970666669</v>
      </c>
      <c r="AQ18" s="7">
        <v>0.5</v>
      </c>
      <c r="AR18" s="7">
        <v>0.84123378758016032</v>
      </c>
      <c r="AS18" s="7">
        <v>0.42061689379008016</v>
      </c>
      <c r="AT18" s="7">
        <v>128.68274111404077</v>
      </c>
      <c r="AU18" s="7">
        <v>77.128886944565409</v>
      </c>
      <c r="AV18" s="7">
        <v>114.23182453300998</v>
      </c>
      <c r="AW18" s="7">
        <v>126.35239227508498</v>
      </c>
      <c r="AX18" s="7">
        <v>255.03513338912575</v>
      </c>
      <c r="AY18" s="7">
        <v>9.3932256045540807</v>
      </c>
      <c r="AZ18" s="7">
        <v>203.48127921965039</v>
      </c>
      <c r="BA18" s="7">
        <v>4.6966128022770404</v>
      </c>
      <c r="BB18" s="7">
        <v>0.55000000000000004</v>
      </c>
      <c r="BC18" s="7">
        <v>39.668089198657277</v>
      </c>
      <c r="BD18" s="7">
        <v>18.034791807902526</v>
      </c>
      <c r="BE18" s="7">
        <v>0.53753841248720946</v>
      </c>
      <c r="BF18" s="7">
        <v>7.4188348032000002</v>
      </c>
      <c r="BG18" s="7">
        <v>3.886326617164054</v>
      </c>
      <c r="BH18" s="7">
        <v>0</v>
      </c>
      <c r="BI18" s="7">
        <v>44.800000000000004</v>
      </c>
      <c r="BJ18" s="7">
        <v>695.30116676312798</v>
      </c>
      <c r="BK18" s="7">
        <v>82.589173333333335</v>
      </c>
      <c r="BL18" s="7">
        <v>777.89034009646127</v>
      </c>
      <c r="BM18" s="7">
        <v>567.42134236190464</v>
      </c>
      <c r="BN18" s="19"/>
      <c r="BO18" s="7"/>
      <c r="BP18" s="7"/>
      <c r="BQ18" s="7"/>
      <c r="BR18" s="7"/>
    </row>
    <row r="19" spans="1:70" x14ac:dyDescent="0.3">
      <c r="A19" s="7">
        <v>16</v>
      </c>
      <c r="B19" s="7">
        <v>2.1666666666666665</v>
      </c>
      <c r="C19" s="7">
        <v>3.6870166666666662</v>
      </c>
      <c r="D19" s="7">
        <v>6.8067999999999991</v>
      </c>
      <c r="E19" s="7">
        <v>30</v>
      </c>
      <c r="F19" s="7">
        <v>92.027562000000003</v>
      </c>
      <c r="G19" s="7" t="s">
        <v>13</v>
      </c>
      <c r="H19" s="7">
        <v>7.7967875712000003</v>
      </c>
      <c r="I19" s="7">
        <v>0.54671258985039017</v>
      </c>
      <c r="J19" s="7">
        <v>15.3</v>
      </c>
      <c r="K19" s="7">
        <v>8.3647026247109704</v>
      </c>
      <c r="L19" s="7">
        <v>17.452785830272667</v>
      </c>
      <c r="M19" s="7">
        <v>0.5</v>
      </c>
      <c r="N19" s="7">
        <v>30.6</v>
      </c>
      <c r="O19" s="7">
        <v>6008.6212726153844</v>
      </c>
      <c r="P19" s="7">
        <v>309.01458668053039</v>
      </c>
      <c r="Q19" s="7">
        <v>588.04669408272878</v>
      </c>
      <c r="R19" s="7">
        <v>68.629347517819056</v>
      </c>
      <c r="S19" s="7">
        <v>828.43193324544018</v>
      </c>
      <c r="T19" s="7">
        <v>284.93955819419034</v>
      </c>
      <c r="U19" s="7">
        <v>15.3</v>
      </c>
      <c r="V19" s="7">
        <v>2253.2329772307694</v>
      </c>
      <c r="W19" s="7">
        <v>160.74708072099438</v>
      </c>
      <c r="X19" s="7">
        <v>220.51751028102331</v>
      </c>
      <c r="Y19" s="7">
        <v>68.629347517819056</v>
      </c>
      <c r="Z19" s="7">
        <v>312.63524348419867</v>
      </c>
      <c r="AA19" s="7">
        <v>181.15230402251512</v>
      </c>
      <c r="AB19" s="7">
        <v>76.5</v>
      </c>
      <c r="AC19" s="7">
        <v>0.55000000000000004</v>
      </c>
      <c r="AD19" s="7">
        <v>0.22822603877497147</v>
      </c>
      <c r="AE19" s="7">
        <v>373.31221607382452</v>
      </c>
      <c r="AF19" s="7">
        <v>83.134524692961861</v>
      </c>
      <c r="AG19" s="7">
        <v>0</v>
      </c>
      <c r="AH19" s="7">
        <v>918</v>
      </c>
      <c r="AI19" s="7">
        <v>1901.6131871271677</v>
      </c>
      <c r="AJ19" s="7">
        <v>104.81572740038399</v>
      </c>
      <c r="AK19" s="7">
        <v>1937.7995670097328</v>
      </c>
      <c r="AL19" s="7">
        <v>1399.7585785068363</v>
      </c>
      <c r="AM19" s="7">
        <v>40</v>
      </c>
      <c r="AN19" s="7">
        <v>0.54671258985039017</v>
      </c>
      <c r="AO19" s="7">
        <v>21.868503594015607</v>
      </c>
      <c r="AP19" s="7">
        <v>4.1770868539999997</v>
      </c>
      <c r="AQ19" s="7">
        <v>0.5</v>
      </c>
      <c r="AR19" s="7">
        <v>0.87474014376062426</v>
      </c>
      <c r="AS19" s="7">
        <v>0.43737007188031213</v>
      </c>
      <c r="AT19" s="7">
        <v>140.40357064373291</v>
      </c>
      <c r="AU19" s="7">
        <v>82.989301709411478</v>
      </c>
      <c r="AV19" s="7">
        <v>171.76412535329172</v>
      </c>
      <c r="AW19" s="7">
        <v>189.98915787390271</v>
      </c>
      <c r="AX19" s="7">
        <v>330.39272851763565</v>
      </c>
      <c r="AY19" s="7">
        <v>9.7673579414101237</v>
      </c>
      <c r="AZ19" s="7">
        <v>272.97845958331419</v>
      </c>
      <c r="BA19" s="7">
        <v>4.8836789707050619</v>
      </c>
      <c r="BB19" s="7">
        <v>0.55000000000000004</v>
      </c>
      <c r="BC19" s="7">
        <v>39.824114706084778</v>
      </c>
      <c r="BD19" s="7">
        <v>19.058192615815859</v>
      </c>
      <c r="BE19" s="7">
        <v>0.53988784841500426</v>
      </c>
      <c r="BF19" s="7">
        <v>7.7967875712000003</v>
      </c>
      <c r="BG19" s="7">
        <v>4.1073648130050069</v>
      </c>
      <c r="BH19" s="7">
        <v>0</v>
      </c>
      <c r="BI19" s="7">
        <v>48</v>
      </c>
      <c r="BJ19" s="7">
        <v>796.19950296457387</v>
      </c>
      <c r="BK19" s="7">
        <v>88.488399999999984</v>
      </c>
      <c r="BL19" s="7">
        <v>884.68790296457382</v>
      </c>
      <c r="BM19" s="7">
        <v>649.97452652672393</v>
      </c>
      <c r="BN19" s="19"/>
      <c r="BO19" s="7"/>
      <c r="BP19" s="7"/>
      <c r="BQ19" s="7"/>
      <c r="BR19" s="7"/>
    </row>
    <row r="20" spans="1:70" x14ac:dyDescent="0.3">
      <c r="A20" s="7">
        <v>17</v>
      </c>
      <c r="B20" s="7">
        <v>2.1666666666666665</v>
      </c>
      <c r="C20" s="7">
        <v>3.6870166666666662</v>
      </c>
      <c r="D20" s="7">
        <v>6.8067999999999991</v>
      </c>
      <c r="E20" s="7">
        <v>32</v>
      </c>
      <c r="F20" s="7">
        <v>98.917325999999989</v>
      </c>
      <c r="G20" s="7" t="s">
        <v>13</v>
      </c>
      <c r="H20" s="7">
        <v>8.1936379775999999</v>
      </c>
      <c r="I20" s="7">
        <v>0.53011355717414588</v>
      </c>
      <c r="J20" s="7">
        <v>16.32</v>
      </c>
      <c r="K20" s="7">
        <v>8.6514532530820603</v>
      </c>
      <c r="L20" s="7">
        <v>17.812564419965234</v>
      </c>
      <c r="M20" s="7">
        <v>0.5</v>
      </c>
      <c r="N20" s="7">
        <v>32.64</v>
      </c>
      <c r="O20" s="7">
        <v>1048.5171160615366</v>
      </c>
      <c r="P20" s="7">
        <v>349.64576032248783</v>
      </c>
      <c r="Q20" s="7">
        <v>102.61539142086164</v>
      </c>
      <c r="R20" s="7">
        <v>73.767373535195873</v>
      </c>
      <c r="S20" s="7">
        <v>378.49377820815363</v>
      </c>
      <c r="T20" s="7">
        <v>318.51940576093733</v>
      </c>
      <c r="U20" s="7">
        <v>16.32</v>
      </c>
      <c r="V20" s="7">
        <v>393.19391852307626</v>
      </c>
      <c r="W20" s="7">
        <v>181.0626675419731</v>
      </c>
      <c r="X20" s="7">
        <v>38.480771782823119</v>
      </c>
      <c r="Y20" s="7">
        <v>73.767373535195873</v>
      </c>
      <c r="Z20" s="7">
        <v>145.77606578960035</v>
      </c>
      <c r="AA20" s="7">
        <v>200.51124081457704</v>
      </c>
      <c r="AB20" s="7">
        <v>81.599999999999994</v>
      </c>
      <c r="AC20" s="7">
        <v>0.55000000000000004</v>
      </c>
      <c r="AD20" s="7">
        <v>0.18091497927540695</v>
      </c>
      <c r="AE20" s="7">
        <v>392.31351671336216</v>
      </c>
      <c r="AF20" s="7">
        <v>69.256581789956059</v>
      </c>
      <c r="AG20" s="7">
        <v>0</v>
      </c>
      <c r="AH20" s="7">
        <v>979.19999999999993</v>
      </c>
      <c r="AI20" s="7">
        <v>2002.1944442957385</v>
      </c>
      <c r="AJ20" s="7">
        <v>111.80344256040959</v>
      </c>
      <c r="AK20" s="7">
        <v>2040.230513320952</v>
      </c>
      <c r="AL20" s="7">
        <v>1475.3034845422128</v>
      </c>
      <c r="AM20" s="7">
        <v>42.666666666666664</v>
      </c>
      <c r="AN20" s="7">
        <v>0.53011355717414588</v>
      </c>
      <c r="AO20" s="7">
        <v>22.618178439430224</v>
      </c>
      <c r="AP20" s="7">
        <v>4.4555593109333334</v>
      </c>
      <c r="AQ20" s="7">
        <v>0.5</v>
      </c>
      <c r="AR20" s="7">
        <v>0.90472713757720902</v>
      </c>
      <c r="AS20" s="7">
        <v>0.45236356878860451</v>
      </c>
      <c r="AT20" s="7">
        <v>153.13233387401309</v>
      </c>
      <c r="AU20" s="7">
        <v>89.353683324551568</v>
      </c>
      <c r="AV20" s="7">
        <v>29.063170622397802</v>
      </c>
      <c r="AW20" s="7">
        <v>32.146918341287318</v>
      </c>
      <c r="AX20" s="7">
        <v>185.2792522153004</v>
      </c>
      <c r="AY20" s="7">
        <v>10.607302691900143</v>
      </c>
      <c r="AZ20" s="7">
        <v>121.50060166583889</v>
      </c>
      <c r="BA20" s="7">
        <v>5.3036513459500716</v>
      </c>
      <c r="BB20" s="7">
        <v>0.55000000000000004</v>
      </c>
      <c r="BC20" s="7">
        <v>39.958765191444961</v>
      </c>
      <c r="BD20" s="7">
        <v>20.068027653423794</v>
      </c>
      <c r="BE20" s="7">
        <v>0.54132876438093092</v>
      </c>
      <c r="BF20" s="7">
        <v>8.1936379775999999</v>
      </c>
      <c r="BG20" s="7">
        <v>4.3280386521285861</v>
      </c>
      <c r="BH20" s="7">
        <v>0</v>
      </c>
      <c r="BI20" s="7">
        <v>51.199999999999996</v>
      </c>
      <c r="BJ20" s="7">
        <v>907.83470335248956</v>
      </c>
      <c r="BK20" s="7">
        <v>94.387626666666648</v>
      </c>
      <c r="BL20" s="7">
        <v>1002.2223300191562</v>
      </c>
      <c r="BM20" s="7">
        <v>741.31241775320041</v>
      </c>
      <c r="BN20" s="19"/>
      <c r="BO20" s="7"/>
      <c r="BP20" s="7"/>
      <c r="BQ20" s="7"/>
      <c r="BR20" s="7"/>
    </row>
    <row r="21" spans="1:70" x14ac:dyDescent="0.3">
      <c r="A21" s="7">
        <v>18</v>
      </c>
      <c r="B21" s="7">
        <v>2.1666666666666665</v>
      </c>
      <c r="C21" s="7">
        <v>3.6870166666666662</v>
      </c>
      <c r="D21" s="7">
        <v>6.8067999999999991</v>
      </c>
      <c r="E21" s="7">
        <v>20</v>
      </c>
      <c r="F21" s="7">
        <v>104.82283799999999</v>
      </c>
      <c r="G21" s="7" t="s">
        <v>13</v>
      </c>
      <c r="H21" s="7">
        <v>8.5337954687999993</v>
      </c>
      <c r="I21" s="7">
        <v>0.51651360482955422</v>
      </c>
      <c r="J21" s="7">
        <v>10.199999999999999</v>
      </c>
      <c r="K21" s="7">
        <v>5.2684387692614525</v>
      </c>
      <c r="L21" s="7">
        <v>17.585022544405959</v>
      </c>
      <c r="M21" s="7">
        <v>0.5</v>
      </c>
      <c r="N21" s="7">
        <v>20.399999999999999</v>
      </c>
      <c r="O21" s="7">
        <v>1767.3765341538453</v>
      </c>
      <c r="P21" s="7">
        <v>371.41246048782222</v>
      </c>
      <c r="Q21" s="7">
        <v>172.96812046471047</v>
      </c>
      <c r="R21" s="7">
        <v>78.171395835804574</v>
      </c>
      <c r="S21" s="7">
        <v>466.20918511672812</v>
      </c>
      <c r="T21" s="7">
        <v>338.16011817728008</v>
      </c>
      <c r="U21" s="7">
        <v>10.199999999999999</v>
      </c>
      <c r="V21" s="7">
        <v>662.76620030769197</v>
      </c>
      <c r="W21" s="7">
        <v>191.94601762464029</v>
      </c>
      <c r="X21" s="7">
        <v>64.863045174266418</v>
      </c>
      <c r="Y21" s="7">
        <v>78.171395835804574</v>
      </c>
      <c r="Z21" s="7">
        <v>178.63766696310216</v>
      </c>
      <c r="AA21" s="7">
        <v>212.53360817305276</v>
      </c>
      <c r="AB21" s="7">
        <v>51</v>
      </c>
      <c r="AC21" s="7">
        <v>0.55000000000000004</v>
      </c>
      <c r="AD21" s="7">
        <v>0.13743541641139065</v>
      </c>
      <c r="AE21" s="7">
        <v>408.60034583296584</v>
      </c>
      <c r="AF21" s="7">
        <v>55.036965104354941</v>
      </c>
      <c r="AG21" s="7">
        <v>0</v>
      </c>
      <c r="AH21" s="7">
        <v>611.99999999999989</v>
      </c>
      <c r="AI21" s="7">
        <v>2070.7059787896542</v>
      </c>
      <c r="AJ21" s="7">
        <v>69.877151600255985</v>
      </c>
      <c r="AK21" s="7">
        <v>2062.4117345541058</v>
      </c>
      <c r="AL21" s="7">
        <v>1527.6655809885624</v>
      </c>
      <c r="AM21" s="7">
        <v>26.666666666666668</v>
      </c>
      <c r="AN21" s="7">
        <v>0.51651360482955422</v>
      </c>
      <c r="AO21" s="7">
        <v>13.773696128788114</v>
      </c>
      <c r="AP21" s="7">
        <v>2.7847245693333336</v>
      </c>
      <c r="AQ21" s="7">
        <v>0.5</v>
      </c>
      <c r="AR21" s="7">
        <v>0.55094784515152451</v>
      </c>
      <c r="AS21" s="7">
        <v>0.27547392257576225</v>
      </c>
      <c r="AT21" s="7">
        <v>159.77637466366895</v>
      </c>
      <c r="AU21" s="7">
        <v>92.675703719379499</v>
      </c>
      <c r="AV21" s="7">
        <v>47.731975150168189</v>
      </c>
      <c r="AW21" s="7">
        <v>52.796576373476775</v>
      </c>
      <c r="AX21" s="7">
        <v>212.57295103714571</v>
      </c>
      <c r="AY21" s="7">
        <v>5.5367006580465574</v>
      </c>
      <c r="AZ21" s="7">
        <v>145.47228009285627</v>
      </c>
      <c r="BA21" s="7">
        <v>2.7683503290232787</v>
      </c>
      <c r="BB21" s="7">
        <v>0.55000000000000004</v>
      </c>
      <c r="BC21" s="7">
        <v>37.977376639203584</v>
      </c>
      <c r="BD21" s="7">
        <v>13.778714601267151</v>
      </c>
      <c r="BE21" s="7">
        <v>0.40825898265800781</v>
      </c>
      <c r="BF21" s="7">
        <v>8.5337954687999993</v>
      </c>
      <c r="BG21" s="7">
        <v>3.4145624806533985</v>
      </c>
      <c r="BH21" s="7">
        <v>0</v>
      </c>
      <c r="BI21" s="7">
        <v>32</v>
      </c>
      <c r="BJ21" s="7">
        <v>983.32624597287258</v>
      </c>
      <c r="BK21" s="7">
        <v>58.992266666666659</v>
      </c>
      <c r="BL21" s="7">
        <v>1042.3185126395392</v>
      </c>
      <c r="BM21" s="7">
        <v>803.07822535169555</v>
      </c>
      <c r="BN21" s="19"/>
      <c r="BO21" s="7"/>
      <c r="BP21" s="7"/>
      <c r="BQ21" s="7"/>
      <c r="BR21" s="7"/>
    </row>
    <row r="22" spans="1:70" x14ac:dyDescent="0.3">
      <c r="A22" s="7">
        <v>19</v>
      </c>
      <c r="B22" s="7">
        <v>2.1666666666666665</v>
      </c>
      <c r="C22" s="7">
        <v>3.6870166666666662</v>
      </c>
      <c r="D22" s="7">
        <v>6.8067999999999991</v>
      </c>
      <c r="E22" s="7">
        <v>43</v>
      </c>
      <c r="F22" s="7">
        <v>111.38451800000001</v>
      </c>
      <c r="G22" s="7" t="s">
        <v>37</v>
      </c>
      <c r="H22" s="7">
        <v>8.9117482368000012</v>
      </c>
      <c r="I22" s="7">
        <v>0.50202429281522964</v>
      </c>
      <c r="J22" s="7">
        <v>21.93</v>
      </c>
      <c r="K22" s="7">
        <v>11.009392741437987</v>
      </c>
      <c r="L22" s="7">
        <v>18.244681076188026</v>
      </c>
      <c r="M22" s="7">
        <v>0.5</v>
      </c>
      <c r="N22" s="7">
        <v>39.474000000000004</v>
      </c>
      <c r="O22" s="7">
        <v>986.85</v>
      </c>
      <c r="P22" s="7">
        <v>418.21086584329129</v>
      </c>
      <c r="Q22" s="7">
        <v>96.580205961782397</v>
      </c>
      <c r="R22" s="7">
        <v>83.064753947592052</v>
      </c>
      <c r="S22" s="7">
        <v>431.7263178574816</v>
      </c>
      <c r="T22" s="7">
        <v>375.81236003789593</v>
      </c>
      <c r="U22" s="7">
        <v>26.315999999999999</v>
      </c>
      <c r="V22" s="7">
        <v>548.25</v>
      </c>
      <c r="W22" s="7">
        <v>223.14495452828635</v>
      </c>
      <c r="X22" s="7">
        <v>53.655669978767996</v>
      </c>
      <c r="Y22" s="7">
        <v>83.064753947592052</v>
      </c>
      <c r="Z22" s="7">
        <v>193.73587055946228</v>
      </c>
      <c r="AA22" s="7">
        <v>239.26622211739249</v>
      </c>
      <c r="AB22" s="7">
        <v>109.65</v>
      </c>
      <c r="AC22" s="7">
        <v>0.55000000000000004</v>
      </c>
      <c r="AD22" s="7">
        <v>0.13743541641139065</v>
      </c>
      <c r="AE22" s="7">
        <v>426.6968226325256</v>
      </c>
      <c r="AF22" s="7">
        <v>60.307500000000005</v>
      </c>
      <c r="AG22" s="7">
        <v>9</v>
      </c>
      <c r="AH22" s="7">
        <v>986.85</v>
      </c>
      <c r="AI22" s="7">
        <v>2154.1198031500967</v>
      </c>
      <c r="AJ22" s="7">
        <v>112.6769069554128</v>
      </c>
      <c r="AK22" s="7">
        <v>2183.7319561579175</v>
      </c>
      <c r="AL22" s="7">
        <v>1590.9486161526595</v>
      </c>
      <c r="AM22" s="7">
        <v>57.333333333333336</v>
      </c>
      <c r="AN22" s="7">
        <v>0.50202429281522964</v>
      </c>
      <c r="AO22" s="7">
        <v>28.782726121406501</v>
      </c>
      <c r="AP22" s="7">
        <v>5.9871578240666663</v>
      </c>
      <c r="AQ22" s="7">
        <v>0.5</v>
      </c>
      <c r="AR22" s="7">
        <v>2.9935789120333332</v>
      </c>
      <c r="AS22" s="7">
        <v>2.9935789120333332</v>
      </c>
      <c r="AT22" s="7">
        <v>206.57324314574873</v>
      </c>
      <c r="AU22" s="7">
        <v>139.47257220145929</v>
      </c>
      <c r="AV22" s="7">
        <v>53.884420416599994</v>
      </c>
      <c r="AW22" s="7">
        <v>69.535464652387205</v>
      </c>
      <c r="AX22" s="7">
        <v>276.10870779813592</v>
      </c>
      <c r="AY22" s="7">
        <v>33.426334630056985</v>
      </c>
      <c r="AZ22" s="7">
        <v>209.00803685384648</v>
      </c>
      <c r="BA22" s="7">
        <v>33.426334630056985</v>
      </c>
      <c r="BB22" s="7">
        <v>0.41758689509119501</v>
      </c>
      <c r="BC22" s="7">
        <v>37.977376639203584</v>
      </c>
      <c r="BD22" s="7">
        <v>0</v>
      </c>
      <c r="BE22" s="7">
        <v>0.40825898265800781</v>
      </c>
      <c r="BF22" s="7">
        <v>8.9117482368000012</v>
      </c>
      <c r="BG22" s="7">
        <v>2.5001586461729546</v>
      </c>
      <c r="BH22" s="7">
        <v>9</v>
      </c>
      <c r="BI22" s="7">
        <v>53.884420416599994</v>
      </c>
      <c r="BJ22" s="7">
        <v>1033.5764834256738</v>
      </c>
      <c r="BK22" s="7">
        <v>79.46910245987111</v>
      </c>
      <c r="BL22" s="7">
        <v>1113.0455858855448</v>
      </c>
      <c r="BM22" s="7">
        <v>842.16174337054099</v>
      </c>
      <c r="BN22" s="19"/>
      <c r="BO22" s="7"/>
      <c r="BP22" s="7"/>
      <c r="BQ22" s="7"/>
      <c r="BR22" s="7"/>
    </row>
    <row r="23" spans="1:70" x14ac:dyDescent="0.3">
      <c r="A23" s="7">
        <v>20</v>
      </c>
      <c r="B23" s="7">
        <v>2.1666666666666665</v>
      </c>
      <c r="C23" s="7">
        <v>3.6870166666666662</v>
      </c>
      <c r="D23" s="7">
        <v>6.8067999999999991</v>
      </c>
      <c r="E23" s="7">
        <v>50</v>
      </c>
      <c r="F23" s="7">
        <v>117.94619800000001</v>
      </c>
      <c r="G23" s="7" t="s">
        <v>37</v>
      </c>
      <c r="H23" s="7">
        <v>9.2897010047999995</v>
      </c>
      <c r="I23" s="7">
        <v>0.48813689820007122</v>
      </c>
      <c r="J23" s="7">
        <v>25.5</v>
      </c>
      <c r="K23" s="7">
        <v>12.447490904101816</v>
      </c>
      <c r="L23" s="7">
        <v>19.040106878903838</v>
      </c>
      <c r="M23" s="7">
        <v>0.5</v>
      </c>
      <c r="N23" s="7">
        <v>45.9</v>
      </c>
      <c r="O23" s="7">
        <v>1147.5</v>
      </c>
      <c r="P23" s="7">
        <v>472.62761625662722</v>
      </c>
      <c r="Q23" s="7">
        <v>112.30256507183999</v>
      </c>
      <c r="R23" s="7">
        <v>87.958112059379502</v>
      </c>
      <c r="S23" s="7">
        <v>496.97206926908774</v>
      </c>
      <c r="T23" s="7">
        <v>418.79744343901854</v>
      </c>
      <c r="U23" s="7">
        <v>30.599999999999998</v>
      </c>
      <c r="V23" s="7">
        <v>637.5</v>
      </c>
      <c r="W23" s="7">
        <v>259.42278813717695</v>
      </c>
      <c r="X23" s="7">
        <v>62.390313928799998</v>
      </c>
      <c r="Y23" s="7">
        <v>87.958112059379502</v>
      </c>
      <c r="Z23" s="7">
        <v>233.85499000659746</v>
      </c>
      <c r="AA23" s="7">
        <v>269.55406375540338</v>
      </c>
      <c r="AB23" s="7">
        <v>127.5</v>
      </c>
      <c r="AC23" s="7">
        <v>0.55000000000000004</v>
      </c>
      <c r="AD23" s="7">
        <v>0.13743541641139065</v>
      </c>
      <c r="AE23" s="7">
        <v>444.79329943208523</v>
      </c>
      <c r="AF23" s="7">
        <v>70.125</v>
      </c>
      <c r="AG23" s="7">
        <v>9</v>
      </c>
      <c r="AH23" s="7">
        <v>1147.5</v>
      </c>
      <c r="AI23" s="7">
        <v>2251.1126221738668</v>
      </c>
      <c r="AJ23" s="7">
        <v>131.01965925048</v>
      </c>
      <c r="AK23" s="7">
        <v>2294.1741693649674</v>
      </c>
      <c r="AL23" s="7">
        <v>1663.7369475810863</v>
      </c>
      <c r="AM23" s="7">
        <v>66.666666666666671</v>
      </c>
      <c r="AN23" s="7">
        <v>0.48813689820007122</v>
      </c>
      <c r="AO23" s="7">
        <v>32.542459880004749</v>
      </c>
      <c r="AP23" s="7">
        <v>6.9618114233333337</v>
      </c>
      <c r="AQ23" s="7">
        <v>0.5</v>
      </c>
      <c r="AR23" s="7">
        <v>3.4809057116666668</v>
      </c>
      <c r="AS23" s="7">
        <v>3.4809057116666668</v>
      </c>
      <c r="AT23" s="7">
        <v>260.98820649700406</v>
      </c>
      <c r="AU23" s="7">
        <v>193.88753555271461</v>
      </c>
      <c r="AV23" s="7">
        <v>62.65630281</v>
      </c>
      <c r="AW23" s="7">
        <v>80.855191456264208</v>
      </c>
      <c r="AX23" s="7">
        <v>341.84339795326827</v>
      </c>
      <c r="AY23" s="7">
        <v>38.867830965182378</v>
      </c>
      <c r="AZ23" s="7">
        <v>274.74272700897882</v>
      </c>
      <c r="BA23" s="7">
        <v>38.867830965182378</v>
      </c>
      <c r="BB23" s="7">
        <v>0.37161266871069187</v>
      </c>
      <c r="BC23" s="7">
        <v>37.977376639203584</v>
      </c>
      <c r="BD23" s="7">
        <v>0</v>
      </c>
      <c r="BE23" s="7">
        <v>0.40825898265800781</v>
      </c>
      <c r="BF23" s="7">
        <v>9.2897010047999995</v>
      </c>
      <c r="BG23" s="7">
        <v>2.5870973220854805</v>
      </c>
      <c r="BH23" s="7">
        <v>9</v>
      </c>
      <c r="BI23" s="7">
        <v>62.65630281</v>
      </c>
      <c r="BJ23" s="7">
        <v>1085.5740856367568</v>
      </c>
      <c r="BK23" s="7">
        <v>92.405933092873397</v>
      </c>
      <c r="BL23" s="7">
        <v>1177.98001872963</v>
      </c>
      <c r="BM23" s="7">
        <v>882.60432286804996</v>
      </c>
      <c r="BN23" s="19"/>
      <c r="BO23" s="7"/>
      <c r="BP23" s="7"/>
      <c r="BQ23" s="7"/>
      <c r="BR23" s="7"/>
    </row>
    <row r="24" spans="1:70" x14ac:dyDescent="0.3">
      <c r="A24" s="7"/>
      <c r="B24" s="7"/>
      <c r="C24" s="7"/>
      <c r="D24" s="7"/>
      <c r="E24" s="7"/>
      <c r="F24" s="7">
        <v>0</v>
      </c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19"/>
      <c r="BO24" s="7"/>
      <c r="BP24" s="7"/>
      <c r="BQ24" s="7"/>
      <c r="BR24" s="7"/>
    </row>
    <row r="25" spans="1:70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19"/>
      <c r="BO25" s="7"/>
      <c r="BP25" s="7"/>
      <c r="BQ25" s="7"/>
      <c r="BR25" s="7"/>
    </row>
    <row r="26" spans="1:70" x14ac:dyDescent="0.3">
      <c r="A26" s="20"/>
      <c r="B26" s="20"/>
      <c r="C26" s="20"/>
      <c r="D26" s="20"/>
      <c r="E26" s="20"/>
      <c r="F26" s="20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19"/>
      <c r="BO26" s="7"/>
      <c r="BP26" s="7"/>
      <c r="BQ26" s="7"/>
      <c r="BR26" s="7"/>
    </row>
    <row r="27" spans="1:70" x14ac:dyDescent="0.3">
      <c r="A27" s="20"/>
      <c r="B27" s="20"/>
      <c r="C27" s="20"/>
      <c r="D27" s="20"/>
      <c r="E27" s="20"/>
      <c r="F27" s="20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19"/>
      <c r="BO27" s="7"/>
      <c r="BP27" s="7"/>
      <c r="BQ27" s="7"/>
      <c r="BR27" s="7"/>
    </row>
    <row r="28" spans="1:70" x14ac:dyDescent="0.3">
      <c r="A28" s="20"/>
      <c r="B28" s="20"/>
      <c r="C28" s="20"/>
      <c r="D28" s="20"/>
      <c r="E28" s="20"/>
      <c r="F28" s="20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19"/>
      <c r="BO28" s="7"/>
      <c r="BP28" s="7"/>
      <c r="BQ28" s="7"/>
      <c r="BR28" s="7"/>
    </row>
    <row r="29" spans="1:70" x14ac:dyDescent="0.3">
      <c r="A29" s="20"/>
      <c r="B29" s="20"/>
      <c r="C29" s="20"/>
      <c r="D29" s="20"/>
      <c r="E29" s="20"/>
      <c r="F29" s="20"/>
      <c r="G29" s="20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20"/>
      <c r="BE29" s="20"/>
      <c r="BF29" s="20"/>
      <c r="BG29" s="7"/>
      <c r="BH29" s="7"/>
      <c r="BI29" s="34"/>
      <c r="BJ29" s="34"/>
      <c r="BK29" s="34"/>
      <c r="BL29" s="34"/>
      <c r="BM29" s="34"/>
      <c r="BN29" s="22"/>
      <c r="BO29" s="22"/>
      <c r="BP29" s="22"/>
      <c r="BQ29" s="22"/>
      <c r="BR29" s="22"/>
    </row>
    <row r="30" spans="1:70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20"/>
      <c r="BE30" s="20"/>
      <c r="BF30" s="20"/>
      <c r="BG30" s="7"/>
      <c r="BH30" s="7"/>
      <c r="BI30" s="34"/>
      <c r="BJ30" s="34"/>
      <c r="BK30" s="34"/>
      <c r="BL30" s="34"/>
      <c r="BM30" s="34"/>
      <c r="BN30" s="22"/>
      <c r="BO30" s="22"/>
      <c r="BP30" s="22"/>
      <c r="BQ30" s="22"/>
      <c r="BR30" s="22"/>
    </row>
    <row r="31" spans="1:70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20"/>
      <c r="BE31" s="20"/>
      <c r="BF31" s="20"/>
      <c r="BG31" s="7"/>
      <c r="BH31" s="7"/>
      <c r="BI31" s="34"/>
      <c r="BJ31" s="34"/>
      <c r="BK31" s="34"/>
      <c r="BL31" s="34"/>
      <c r="BM31" s="34"/>
      <c r="BN31" s="22"/>
      <c r="BO31" s="22"/>
      <c r="BP31" s="22"/>
      <c r="BQ31" s="22"/>
      <c r="BR31" s="22"/>
    </row>
    <row r="32" spans="1:70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20"/>
      <c r="BE32" s="20"/>
      <c r="BF32" s="20"/>
      <c r="BG32" s="7"/>
      <c r="BH32" s="7"/>
      <c r="BI32" s="34"/>
      <c r="BJ32" s="34"/>
      <c r="BK32" s="34"/>
      <c r="BL32" s="34"/>
      <c r="BM32" s="34"/>
      <c r="BN32" s="22"/>
      <c r="BO32" s="22"/>
      <c r="BP32" s="22"/>
      <c r="BQ32" s="22"/>
      <c r="BR32" s="22"/>
    </row>
    <row r="33" spans="1:70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20"/>
      <c r="BE33" s="20"/>
      <c r="BF33" s="20"/>
      <c r="BG33" s="7"/>
      <c r="BH33" s="7"/>
      <c r="BI33" s="34"/>
      <c r="BJ33" s="34"/>
      <c r="BK33" s="34"/>
      <c r="BL33" s="34"/>
      <c r="BM33" s="34"/>
      <c r="BN33" s="22"/>
      <c r="BO33" s="22"/>
      <c r="BP33" s="22"/>
      <c r="BQ33" s="22"/>
      <c r="BR33" s="22"/>
    </row>
    <row r="34" spans="1:70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20"/>
      <c r="BE34" s="20"/>
      <c r="BF34" s="20"/>
      <c r="BG34" s="7"/>
      <c r="BH34" s="7"/>
      <c r="BI34" s="34"/>
      <c r="BJ34" s="34"/>
      <c r="BK34" s="34"/>
      <c r="BL34" s="34"/>
      <c r="BM34" s="34"/>
      <c r="BN34" s="22"/>
      <c r="BO34" s="22"/>
      <c r="BP34" s="22"/>
      <c r="BQ34" s="22"/>
      <c r="BR34" s="22"/>
    </row>
    <row r="35" spans="1:70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20"/>
      <c r="BE35" s="20"/>
      <c r="BF35" s="20"/>
      <c r="BG35" s="7"/>
      <c r="BH35" s="7"/>
      <c r="BI35" s="34"/>
      <c r="BJ35" s="34"/>
      <c r="BK35" s="34"/>
      <c r="BL35" s="34"/>
      <c r="BM35" s="34"/>
      <c r="BN35" s="22"/>
      <c r="BO35" s="22"/>
      <c r="BP35" s="22"/>
      <c r="BQ35" s="22"/>
      <c r="BR35" s="22"/>
    </row>
    <row r="36" spans="1:70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20"/>
      <c r="BE36" s="20"/>
      <c r="BF36" s="20"/>
      <c r="BG36" s="7"/>
      <c r="BH36" s="7"/>
      <c r="BI36" s="34"/>
      <c r="BJ36" s="34"/>
      <c r="BK36" s="34"/>
      <c r="BL36" s="34"/>
      <c r="BM36" s="34"/>
      <c r="BN36" s="22"/>
      <c r="BO36" s="22"/>
      <c r="BP36" s="22"/>
      <c r="BQ36" s="22"/>
      <c r="BR36" s="22"/>
    </row>
    <row r="37" spans="1:70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20"/>
      <c r="BE37" s="20"/>
      <c r="BF37" s="20"/>
      <c r="BG37" s="7"/>
      <c r="BH37" s="7"/>
      <c r="BI37" s="34"/>
      <c r="BJ37" s="34"/>
      <c r="BK37" s="34"/>
      <c r="BL37" s="34"/>
      <c r="BM37" s="34"/>
      <c r="BN37" s="22"/>
      <c r="BO37" s="22"/>
      <c r="BP37" s="22"/>
      <c r="BQ37" s="22"/>
      <c r="BR37" s="22"/>
    </row>
    <row r="38" spans="1:70" x14ac:dyDescent="0.3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1"/>
      <c r="BE38" s="21"/>
      <c r="BF38" s="21"/>
      <c r="BG38" s="23"/>
      <c r="BH38" s="23"/>
      <c r="BI38" s="22"/>
      <c r="BJ38" s="22"/>
      <c r="BK38" s="22"/>
      <c r="BL38" s="22"/>
      <c r="BM38" s="22"/>
      <c r="BN38" s="22"/>
      <c r="BO38" s="22"/>
      <c r="BP38" s="22"/>
      <c r="BQ38" s="22"/>
      <c r="BR38" s="22"/>
    </row>
    <row r="39" spans="1:70" x14ac:dyDescent="0.3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1"/>
      <c r="BE39" s="21"/>
      <c r="BF39" s="21"/>
      <c r="BG39" s="23"/>
      <c r="BH39" s="23"/>
      <c r="BI39" s="22"/>
      <c r="BJ39" s="22"/>
      <c r="BK39" s="22"/>
      <c r="BL39" s="22"/>
      <c r="BM39" s="22"/>
      <c r="BN39" s="22"/>
      <c r="BO39" s="22"/>
      <c r="BP39" s="22"/>
      <c r="BQ39" s="22"/>
      <c r="BR39" s="22"/>
    </row>
    <row r="40" spans="1:70" x14ac:dyDescent="0.3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2"/>
      <c r="BB40" s="22"/>
      <c r="BC40" s="22"/>
      <c r="BD40" s="21"/>
      <c r="BE40" s="21"/>
      <c r="BF40" s="21"/>
      <c r="BG40" s="23"/>
      <c r="BH40" s="23"/>
      <c r="BI40" s="22"/>
      <c r="BJ40" s="22"/>
      <c r="BK40" s="22"/>
      <c r="BL40" s="22"/>
      <c r="BM40" s="22"/>
      <c r="BN40" s="22"/>
      <c r="BO40" s="22"/>
      <c r="BP40" s="22"/>
      <c r="BQ40" s="22"/>
      <c r="BR40" s="22"/>
    </row>
    <row r="41" spans="1:70" x14ac:dyDescent="0.3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1"/>
      <c r="BE41" s="21"/>
      <c r="BF41" s="21"/>
      <c r="BG41" s="23"/>
      <c r="BH41" s="23"/>
      <c r="BI41" s="22"/>
      <c r="BJ41" s="22"/>
      <c r="BK41" s="22"/>
      <c r="BL41" s="22"/>
      <c r="BM41" s="22"/>
      <c r="BN41" s="22"/>
      <c r="BO41" s="22"/>
      <c r="BP41" s="22"/>
      <c r="BQ41" s="22"/>
      <c r="BR41" s="22"/>
    </row>
    <row r="42" spans="1:70" x14ac:dyDescent="0.3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1"/>
      <c r="BE42" s="21"/>
      <c r="BF42" s="21"/>
      <c r="BG42" s="23"/>
      <c r="BH42" s="23"/>
      <c r="BI42" s="22"/>
      <c r="BJ42" s="22"/>
      <c r="BK42" s="22"/>
      <c r="BL42" s="22"/>
      <c r="BM42" s="22"/>
      <c r="BN42" s="22"/>
      <c r="BO42" s="22"/>
      <c r="BP42" s="22"/>
      <c r="BQ42" s="22"/>
      <c r="BR42" s="22"/>
    </row>
    <row r="43" spans="1:70" x14ac:dyDescent="0.3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1"/>
      <c r="BE43" s="21"/>
      <c r="BF43" s="21"/>
      <c r="BG43" s="23"/>
      <c r="BH43" s="23"/>
      <c r="BI43" s="22"/>
      <c r="BJ43" s="22"/>
      <c r="BK43" s="22"/>
      <c r="BL43" s="22"/>
      <c r="BM43" s="22"/>
      <c r="BN43" s="22"/>
      <c r="BO43" s="22"/>
      <c r="BP43" s="22"/>
      <c r="BQ43" s="22"/>
      <c r="BR43" s="22"/>
    </row>
    <row r="44" spans="1:70" x14ac:dyDescent="0.3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1"/>
      <c r="BE44" s="21"/>
      <c r="BF44" s="21"/>
      <c r="BG44" s="23"/>
      <c r="BH44" s="23"/>
      <c r="BI44" s="22"/>
      <c r="BJ44" s="22"/>
      <c r="BK44" s="22"/>
      <c r="BL44" s="22"/>
      <c r="BM44" s="22"/>
      <c r="BN44" s="22"/>
      <c r="BO44" s="22"/>
      <c r="BP44" s="22"/>
      <c r="BQ44" s="22"/>
      <c r="BR44" s="22"/>
    </row>
    <row r="45" spans="1:70" x14ac:dyDescent="0.3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1"/>
      <c r="BE45" s="21"/>
      <c r="BF45" s="21"/>
      <c r="BG45" s="23"/>
      <c r="BH45" s="23"/>
      <c r="BI45" s="22"/>
      <c r="BJ45" s="22"/>
      <c r="BK45" s="22"/>
      <c r="BL45" s="22"/>
      <c r="BM45" s="22"/>
      <c r="BN45" s="22"/>
      <c r="BO45" s="22"/>
      <c r="BP45" s="22"/>
      <c r="BQ45" s="22"/>
      <c r="BR45" s="22"/>
    </row>
    <row r="46" spans="1:70" x14ac:dyDescent="0.3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1"/>
      <c r="BE46" s="21"/>
      <c r="BF46" s="21"/>
      <c r="BG46" s="23"/>
      <c r="BH46" s="23"/>
      <c r="BI46" s="22"/>
      <c r="BJ46" s="22"/>
      <c r="BK46" s="22"/>
      <c r="BL46" s="22"/>
      <c r="BM46" s="22"/>
      <c r="BN46" s="22"/>
      <c r="BO46" s="22"/>
      <c r="BP46" s="22"/>
      <c r="BQ46" s="22"/>
      <c r="BR46" s="22"/>
    </row>
    <row r="47" spans="1:70" x14ac:dyDescent="0.3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1"/>
      <c r="BE47" s="21"/>
      <c r="BF47" s="21"/>
      <c r="BG47" s="23"/>
      <c r="BH47" s="23"/>
      <c r="BI47" s="22"/>
      <c r="BJ47" s="22"/>
      <c r="BK47" s="22"/>
      <c r="BL47" s="22"/>
      <c r="BM47" s="22"/>
      <c r="BN47" s="22"/>
      <c r="BO47" s="22"/>
      <c r="BP47" s="22"/>
      <c r="BQ47" s="22"/>
      <c r="BR47" s="22"/>
    </row>
    <row r="48" spans="1:70" x14ac:dyDescent="0.3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1"/>
      <c r="BE48" s="21"/>
      <c r="BF48" s="21"/>
      <c r="BG48" s="23"/>
      <c r="BH48" s="23"/>
      <c r="BI48" s="22"/>
      <c r="BJ48" s="22"/>
      <c r="BK48" s="22"/>
      <c r="BL48" s="22"/>
      <c r="BM48" s="22"/>
      <c r="BN48" s="22"/>
      <c r="BO48" s="22"/>
      <c r="BP48" s="22"/>
      <c r="BQ48" s="22"/>
      <c r="BR48" s="22"/>
    </row>
    <row r="49" spans="1:70" x14ac:dyDescent="0.3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1"/>
      <c r="BE49" s="21"/>
      <c r="BF49" s="21"/>
      <c r="BG49" s="23"/>
      <c r="BH49" s="23"/>
      <c r="BI49" s="22"/>
      <c r="BJ49" s="22"/>
      <c r="BK49" s="22"/>
      <c r="BL49" s="22"/>
      <c r="BM49" s="22"/>
      <c r="BN49" s="22"/>
      <c r="BO49" s="22"/>
      <c r="BP49" s="22"/>
      <c r="BQ49" s="22"/>
      <c r="BR49" s="22"/>
    </row>
    <row r="50" spans="1:70" x14ac:dyDescent="0.3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2"/>
      <c r="BB50" s="22"/>
      <c r="BC50" s="22"/>
      <c r="BD50" s="21"/>
      <c r="BE50" s="21"/>
      <c r="BF50" s="21"/>
      <c r="BG50" s="23"/>
      <c r="BH50" s="23"/>
      <c r="BI50" s="22"/>
      <c r="BJ50" s="22"/>
      <c r="BK50" s="22"/>
      <c r="BL50" s="22"/>
      <c r="BM50" s="22"/>
      <c r="BN50" s="22"/>
      <c r="BO50" s="22"/>
      <c r="BP50" s="22"/>
      <c r="BQ50" s="22"/>
      <c r="BR50" s="22"/>
    </row>
    <row r="51" spans="1:70" x14ac:dyDescent="0.3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1"/>
      <c r="BE51" s="21"/>
      <c r="BF51" s="21"/>
      <c r="BG51" s="23"/>
      <c r="BH51" s="23"/>
      <c r="BI51" s="22"/>
      <c r="BJ51" s="22"/>
      <c r="BK51" s="22"/>
      <c r="BL51" s="22"/>
      <c r="BM51" s="22"/>
      <c r="BN51" s="22"/>
      <c r="BO51" s="22"/>
      <c r="BP51" s="22"/>
      <c r="BQ51" s="22"/>
      <c r="BR51" s="22"/>
    </row>
    <row r="52" spans="1:70" x14ac:dyDescent="0.3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1"/>
      <c r="BE52" s="21"/>
      <c r="BF52" s="21"/>
      <c r="BG52" s="22"/>
      <c r="BH52" s="22"/>
      <c r="BI52" s="22"/>
      <c r="BJ52" s="22"/>
      <c r="BK52" s="22"/>
      <c r="BL52" s="22"/>
      <c r="BM52" s="22"/>
      <c r="BN52" s="22"/>
      <c r="BO52" s="22"/>
      <c r="BP52" s="22"/>
      <c r="BQ52" s="22"/>
      <c r="BR52" s="22"/>
    </row>
    <row r="53" spans="1:70" x14ac:dyDescent="0.3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1"/>
      <c r="BE53" s="21"/>
      <c r="BF53" s="21"/>
      <c r="BG53" s="22"/>
      <c r="BH53" s="22"/>
      <c r="BI53" s="22"/>
      <c r="BJ53" s="22"/>
      <c r="BK53" s="22"/>
      <c r="BL53" s="22"/>
      <c r="BM53" s="22"/>
      <c r="BN53" s="22"/>
      <c r="BO53" s="22"/>
      <c r="BP53" s="22"/>
      <c r="BQ53" s="22"/>
      <c r="BR53" s="22"/>
    </row>
    <row r="54" spans="1:70" x14ac:dyDescent="0.3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1"/>
      <c r="BE54" s="21"/>
      <c r="BF54" s="21"/>
      <c r="BG54" s="22"/>
      <c r="BH54" s="22"/>
      <c r="BI54" s="22"/>
      <c r="BJ54" s="22"/>
      <c r="BK54" s="22"/>
      <c r="BL54" s="22"/>
      <c r="BM54" s="22"/>
      <c r="BN54" s="22"/>
      <c r="BO54" s="22"/>
      <c r="BP54" s="22"/>
      <c r="BQ54" s="22"/>
      <c r="BR54" s="22"/>
    </row>
    <row r="55" spans="1:70" x14ac:dyDescent="0.3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1"/>
      <c r="BE55" s="21"/>
      <c r="BF55" s="21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</row>
    <row r="56" spans="1:70" x14ac:dyDescent="0.3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1"/>
      <c r="BE56" s="21"/>
      <c r="BF56" s="21"/>
      <c r="BG56" s="22"/>
      <c r="BH56" s="22"/>
      <c r="BI56" s="22"/>
      <c r="BJ56" s="22"/>
      <c r="BK56" s="22"/>
      <c r="BL56" s="22"/>
      <c r="BM56" s="22"/>
      <c r="BN56" s="22"/>
      <c r="BO56" s="22"/>
      <c r="BP56" s="22"/>
      <c r="BQ56" s="22"/>
      <c r="BR56" s="22"/>
    </row>
    <row r="57" spans="1:70" x14ac:dyDescent="0.3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1"/>
      <c r="BE57" s="21"/>
      <c r="BF57" s="21"/>
      <c r="BG57" s="22"/>
      <c r="BH57" s="22"/>
      <c r="BI57" s="22"/>
      <c r="BJ57" s="22"/>
      <c r="BK57" s="22"/>
      <c r="BL57" s="22"/>
      <c r="BM57" s="22"/>
      <c r="BN57" s="22"/>
      <c r="BO57" s="22"/>
      <c r="BP57" s="22"/>
      <c r="BQ57" s="22"/>
      <c r="BR57" s="22"/>
    </row>
    <row r="58" spans="1:70" x14ac:dyDescent="0.3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1"/>
      <c r="BE58" s="21"/>
      <c r="BF58" s="21"/>
      <c r="BG58" s="22"/>
      <c r="BH58" s="22"/>
      <c r="BI58" s="22"/>
      <c r="BJ58" s="22"/>
      <c r="BK58" s="22"/>
      <c r="BL58" s="22"/>
      <c r="BM58" s="22"/>
      <c r="BN58" s="22"/>
      <c r="BO58" s="22"/>
      <c r="BP58" s="22"/>
      <c r="BQ58" s="22"/>
      <c r="BR58" s="22"/>
    </row>
    <row r="59" spans="1:70" x14ac:dyDescent="0.3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1"/>
      <c r="BE59" s="21"/>
      <c r="BF59" s="21"/>
      <c r="BG59" s="22"/>
      <c r="BH59" s="22"/>
      <c r="BI59" s="22"/>
      <c r="BJ59" s="22"/>
      <c r="BK59" s="22"/>
      <c r="BL59" s="22"/>
      <c r="BM59" s="22"/>
      <c r="BN59" s="22"/>
      <c r="BO59" s="22"/>
      <c r="BP59" s="22"/>
      <c r="BQ59" s="22"/>
      <c r="BR59" s="22"/>
    </row>
    <row r="60" spans="1:70" x14ac:dyDescent="0.3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1"/>
      <c r="BE60" s="21"/>
      <c r="BF60" s="21"/>
      <c r="BG60" s="22"/>
      <c r="BH60" s="22"/>
      <c r="BI60" s="22"/>
      <c r="BJ60" s="22"/>
      <c r="BK60" s="22"/>
      <c r="BL60" s="22"/>
      <c r="BM60" s="22"/>
      <c r="BN60" s="22"/>
      <c r="BO60" s="22"/>
      <c r="BP60" s="22"/>
      <c r="BQ60" s="22"/>
      <c r="BR60" s="22"/>
    </row>
    <row r="61" spans="1:70" x14ac:dyDescent="0.3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</row>
    <row r="62" spans="1:70" x14ac:dyDescent="0.3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</row>
    <row r="63" spans="1:70" x14ac:dyDescent="0.3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</row>
    <row r="64" spans="1:70" x14ac:dyDescent="0.3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</row>
    <row r="65" spans="1:70" x14ac:dyDescent="0.3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</row>
    <row r="66" spans="1:70" x14ac:dyDescent="0.3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</row>
    <row r="67" spans="1:70" x14ac:dyDescent="0.3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</row>
    <row r="68" spans="1:70" x14ac:dyDescent="0.3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2"/>
      <c r="BB68" s="22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2"/>
      <c r="BP68" s="22"/>
      <c r="BQ68" s="22"/>
      <c r="BR68" s="22"/>
    </row>
    <row r="69" spans="1:70" x14ac:dyDescent="0.3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2"/>
      <c r="BP69" s="22"/>
      <c r="BQ69" s="22"/>
      <c r="BR69" s="22"/>
    </row>
    <row r="70" spans="1:70" x14ac:dyDescent="0.3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2"/>
      <c r="BP70" s="22"/>
      <c r="BQ70" s="22"/>
      <c r="BR70" s="22"/>
    </row>
    <row r="71" spans="1:70" x14ac:dyDescent="0.3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2"/>
      <c r="BP71" s="22"/>
      <c r="BQ71" s="22"/>
      <c r="BR71" s="22"/>
    </row>
    <row r="72" spans="1:70" x14ac:dyDescent="0.3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</row>
    <row r="73" spans="1:70" x14ac:dyDescent="0.3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2"/>
      <c r="BP73" s="22"/>
      <c r="BQ73" s="22"/>
      <c r="BR73" s="22"/>
    </row>
    <row r="74" spans="1:70" x14ac:dyDescent="0.3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2"/>
      <c r="BB74" s="22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2"/>
      <c r="BP74" s="22"/>
      <c r="BQ74" s="22"/>
      <c r="BR74" s="22"/>
    </row>
    <row r="75" spans="1:70" x14ac:dyDescent="0.3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2"/>
      <c r="BP75" s="22"/>
      <c r="BQ75" s="22"/>
      <c r="BR75" s="22"/>
    </row>
    <row r="76" spans="1:70" x14ac:dyDescent="0.3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2"/>
      <c r="BB76" s="22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2"/>
      <c r="BP76" s="22"/>
      <c r="BQ76" s="22"/>
      <c r="BR76" s="22"/>
    </row>
    <row r="77" spans="1:70" x14ac:dyDescent="0.3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2"/>
      <c r="BP77" s="22"/>
      <c r="BQ77" s="22"/>
      <c r="BR77" s="22"/>
    </row>
    <row r="78" spans="1:70" x14ac:dyDescent="0.3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2"/>
      <c r="BB78" s="22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2"/>
      <c r="BP78" s="22"/>
      <c r="BQ78" s="22"/>
      <c r="BR78" s="22"/>
    </row>
    <row r="79" spans="1:70" x14ac:dyDescent="0.3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2"/>
      <c r="BP79" s="22"/>
      <c r="BQ79" s="22"/>
      <c r="BR79" s="22"/>
    </row>
    <row r="80" spans="1:70" x14ac:dyDescent="0.3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2"/>
      <c r="BB80" s="22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2"/>
      <c r="BP80" s="22"/>
      <c r="BQ80" s="22"/>
      <c r="BR80" s="22"/>
    </row>
    <row r="81" spans="1:70" x14ac:dyDescent="0.3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2"/>
      <c r="BP81" s="22"/>
      <c r="BQ81" s="22"/>
      <c r="BR81" s="22"/>
    </row>
    <row r="82" spans="1:70" x14ac:dyDescent="0.3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2"/>
      <c r="BB82" s="22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2"/>
      <c r="BP82" s="22"/>
      <c r="BQ82" s="22"/>
      <c r="BR82" s="22"/>
    </row>
    <row r="83" spans="1:70" x14ac:dyDescent="0.3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2"/>
      <c r="BP83" s="22"/>
      <c r="BQ83" s="22"/>
      <c r="BR83" s="22"/>
    </row>
    <row r="84" spans="1:70" x14ac:dyDescent="0.3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2"/>
      <c r="BP84" s="22"/>
      <c r="BQ84" s="22"/>
      <c r="BR84" s="22"/>
    </row>
    <row r="85" spans="1:70" x14ac:dyDescent="0.3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2"/>
      <c r="BP85" s="22"/>
      <c r="BQ85" s="22"/>
      <c r="BR85" s="22"/>
    </row>
    <row r="86" spans="1:70" x14ac:dyDescent="0.3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2"/>
      <c r="BB86" s="22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2"/>
      <c r="BP86" s="22"/>
      <c r="BQ86" s="22"/>
      <c r="BR86" s="22"/>
    </row>
    <row r="87" spans="1:70" x14ac:dyDescent="0.3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2"/>
      <c r="BP87" s="22"/>
      <c r="BQ87" s="22"/>
      <c r="BR87" s="22"/>
    </row>
    <row r="88" spans="1:70" x14ac:dyDescent="0.3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2"/>
      <c r="BB88" s="22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2"/>
      <c r="BP88" s="22"/>
      <c r="BQ88" s="22"/>
      <c r="BR88" s="22"/>
    </row>
    <row r="89" spans="1:70" x14ac:dyDescent="0.3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2"/>
      <c r="BP89" s="22"/>
      <c r="BQ89" s="22"/>
      <c r="BR89" s="22"/>
    </row>
    <row r="90" spans="1:70" x14ac:dyDescent="0.3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2"/>
      <c r="BB90" s="22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2"/>
      <c r="BP90" s="22"/>
      <c r="BQ90" s="22"/>
      <c r="BR90" s="22"/>
    </row>
    <row r="91" spans="1:70" x14ac:dyDescent="0.3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2"/>
      <c r="BP91" s="22"/>
      <c r="BQ91" s="22"/>
      <c r="BR91" s="22"/>
    </row>
    <row r="92" spans="1:70" x14ac:dyDescent="0.3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2"/>
      <c r="BB92" s="22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2"/>
      <c r="BP92" s="22"/>
      <c r="BQ92" s="22"/>
      <c r="BR92" s="22"/>
    </row>
    <row r="93" spans="1:70" x14ac:dyDescent="0.3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2"/>
      <c r="BP93" s="22"/>
      <c r="BQ93" s="22"/>
      <c r="BR93" s="22"/>
    </row>
    <row r="94" spans="1:70" x14ac:dyDescent="0.3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2"/>
      <c r="BB94" s="22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2"/>
      <c r="BP94" s="22"/>
      <c r="BQ94" s="22"/>
      <c r="BR94" s="22"/>
    </row>
    <row r="95" spans="1:70" x14ac:dyDescent="0.3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2"/>
      <c r="BP95" s="22"/>
      <c r="BQ95" s="22"/>
      <c r="BR95" s="22"/>
    </row>
    <row r="96" spans="1:70" x14ac:dyDescent="0.3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2"/>
      <c r="BB96" s="22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2"/>
      <c r="BP96" s="22"/>
      <c r="BQ96" s="22"/>
      <c r="BR96" s="22"/>
    </row>
    <row r="97" spans="1:70" x14ac:dyDescent="0.3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2"/>
      <c r="BP97" s="22"/>
      <c r="BQ97" s="22"/>
      <c r="BR97" s="22"/>
    </row>
    <row r="98" spans="1:70" x14ac:dyDescent="0.3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2"/>
      <c r="BB98" s="22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2"/>
      <c r="BP98" s="22"/>
      <c r="BQ98" s="22"/>
      <c r="BR98" s="22"/>
    </row>
    <row r="99" spans="1:70" x14ac:dyDescent="0.3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2"/>
      <c r="BP99" s="22"/>
      <c r="BQ99" s="22"/>
      <c r="BR99" s="22"/>
    </row>
    <row r="100" spans="1:70" x14ac:dyDescent="0.3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2"/>
      <c r="BB100" s="22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2"/>
      <c r="BP100" s="22"/>
      <c r="BQ100" s="22"/>
      <c r="BR100" s="22"/>
    </row>
    <row r="101" spans="1:70" x14ac:dyDescent="0.3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2"/>
      <c r="BP101" s="22"/>
      <c r="BQ101" s="22"/>
      <c r="BR101" s="22"/>
    </row>
    <row r="102" spans="1:70" x14ac:dyDescent="0.3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2"/>
      <c r="BB102" s="22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2"/>
      <c r="BP102" s="22"/>
      <c r="BQ102" s="22"/>
      <c r="BR102" s="22"/>
    </row>
    <row r="103" spans="1:70" x14ac:dyDescent="0.3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2"/>
      <c r="BH103" s="22"/>
      <c r="BI103" s="22"/>
      <c r="BJ103" s="22"/>
      <c r="BK103" s="22"/>
      <c r="BL103" s="22"/>
      <c r="BM103" s="22"/>
      <c r="BN103" s="22"/>
      <c r="BO103" s="22"/>
      <c r="BP103" s="22"/>
      <c r="BQ103" s="22"/>
      <c r="BR103" s="22"/>
    </row>
    <row r="104" spans="1:70" x14ac:dyDescent="0.3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22"/>
      <c r="BB104" s="22"/>
      <c r="BC104" s="22"/>
      <c r="BD104" s="22"/>
      <c r="BE104" s="22"/>
      <c r="BF104" s="22"/>
      <c r="BG104" s="22"/>
      <c r="BH104" s="22"/>
      <c r="BI104" s="22"/>
      <c r="BJ104" s="22"/>
      <c r="BK104" s="22"/>
      <c r="BL104" s="22"/>
      <c r="BM104" s="22"/>
      <c r="BN104" s="22"/>
      <c r="BO104" s="22"/>
      <c r="BP104" s="22"/>
      <c r="BQ104" s="22"/>
      <c r="BR104" s="22"/>
    </row>
    <row r="105" spans="1:70" x14ac:dyDescent="0.3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2"/>
      <c r="BH105" s="22"/>
      <c r="BI105" s="22"/>
      <c r="BJ105" s="22"/>
      <c r="BK105" s="22"/>
      <c r="BL105" s="22"/>
      <c r="BM105" s="22"/>
      <c r="BN105" s="22"/>
      <c r="BO105" s="22"/>
      <c r="BP105" s="22"/>
      <c r="BQ105" s="22"/>
      <c r="BR105" s="22"/>
    </row>
    <row r="106" spans="1:70" x14ac:dyDescent="0.3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22"/>
      <c r="BB106" s="22"/>
      <c r="BC106" s="22"/>
      <c r="BD106" s="22"/>
      <c r="BE106" s="22"/>
      <c r="BF106" s="22"/>
      <c r="BG106" s="22"/>
      <c r="BH106" s="22"/>
      <c r="BI106" s="22"/>
      <c r="BJ106" s="22"/>
      <c r="BK106" s="22"/>
      <c r="BL106" s="22"/>
      <c r="BM106" s="22"/>
      <c r="BN106" s="22"/>
      <c r="BO106" s="22"/>
      <c r="BP106" s="22"/>
      <c r="BQ106" s="22"/>
      <c r="BR106" s="22"/>
    </row>
    <row r="107" spans="1:70" x14ac:dyDescent="0.3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2"/>
      <c r="BH107" s="22"/>
      <c r="BI107" s="22"/>
      <c r="BJ107" s="22"/>
      <c r="BK107" s="22"/>
      <c r="BL107" s="22"/>
      <c r="BM107" s="22"/>
      <c r="BN107" s="22"/>
      <c r="BO107" s="22"/>
      <c r="BP107" s="22"/>
      <c r="BQ107" s="22"/>
      <c r="BR107" s="22"/>
    </row>
    <row r="108" spans="1:70" x14ac:dyDescent="0.3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22"/>
      <c r="BB108" s="22"/>
      <c r="BC108" s="22"/>
      <c r="BD108" s="22"/>
      <c r="BE108" s="22"/>
      <c r="BF108" s="22"/>
      <c r="BG108" s="22"/>
      <c r="BH108" s="22"/>
      <c r="BI108" s="22"/>
      <c r="BJ108" s="22"/>
      <c r="BK108" s="22"/>
      <c r="BL108" s="22"/>
      <c r="BM108" s="22"/>
      <c r="BN108" s="22"/>
      <c r="BO108" s="22"/>
      <c r="BP108" s="22"/>
      <c r="BQ108" s="22"/>
      <c r="BR108" s="22"/>
    </row>
    <row r="109" spans="1:70" x14ac:dyDescent="0.3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2"/>
      <c r="BH109" s="22"/>
      <c r="BI109" s="22"/>
      <c r="BJ109" s="22"/>
      <c r="BK109" s="22"/>
      <c r="BL109" s="22"/>
      <c r="BM109" s="22"/>
      <c r="BN109" s="22"/>
      <c r="BO109" s="22"/>
      <c r="BP109" s="22"/>
      <c r="BQ109" s="22"/>
      <c r="BR109" s="22"/>
    </row>
    <row r="110" spans="1:70" x14ac:dyDescent="0.3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22"/>
      <c r="BB110" s="22"/>
      <c r="BC110" s="22"/>
      <c r="BD110" s="22"/>
      <c r="BE110" s="22"/>
      <c r="BF110" s="22"/>
      <c r="BG110" s="22"/>
      <c r="BH110" s="22"/>
      <c r="BI110" s="22"/>
      <c r="BJ110" s="22"/>
      <c r="BK110" s="22"/>
      <c r="BL110" s="22"/>
      <c r="BM110" s="22"/>
      <c r="BN110" s="22"/>
      <c r="BO110" s="22"/>
      <c r="BP110" s="22"/>
      <c r="BQ110" s="22"/>
      <c r="BR110" s="22"/>
    </row>
    <row r="111" spans="1:70" x14ac:dyDescent="0.3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2"/>
      <c r="BH111" s="22"/>
      <c r="BI111" s="22"/>
      <c r="BJ111" s="22"/>
      <c r="BK111" s="22"/>
      <c r="BL111" s="22"/>
      <c r="BM111" s="22"/>
      <c r="BN111" s="22"/>
      <c r="BO111" s="22"/>
      <c r="BP111" s="22"/>
      <c r="BQ111" s="22"/>
      <c r="BR111" s="22"/>
    </row>
    <row r="112" spans="1:70" x14ac:dyDescent="0.3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22"/>
      <c r="BB112" s="22"/>
      <c r="BC112" s="22"/>
      <c r="BD112" s="22"/>
      <c r="BE112" s="22"/>
      <c r="BF112" s="22"/>
      <c r="BG112" s="22"/>
      <c r="BH112" s="22"/>
      <c r="BI112" s="22"/>
      <c r="BJ112" s="22"/>
      <c r="BK112" s="22"/>
      <c r="BL112" s="22"/>
      <c r="BM112" s="22"/>
      <c r="BN112" s="22"/>
      <c r="BO112" s="22"/>
      <c r="BP112" s="22"/>
      <c r="BQ112" s="22"/>
      <c r="BR112" s="22"/>
    </row>
    <row r="113" spans="1:70" x14ac:dyDescent="0.3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2"/>
      <c r="BH113" s="22"/>
      <c r="BI113" s="22"/>
      <c r="BJ113" s="22"/>
      <c r="BK113" s="22"/>
      <c r="BL113" s="22"/>
      <c r="BM113" s="22"/>
      <c r="BN113" s="22"/>
      <c r="BO113" s="22"/>
      <c r="BP113" s="22"/>
      <c r="BQ113" s="22"/>
      <c r="BR113" s="22"/>
    </row>
    <row r="114" spans="1:70" x14ac:dyDescent="0.3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22"/>
      <c r="BB114" s="22"/>
      <c r="BC114" s="22"/>
      <c r="BD114" s="22"/>
      <c r="BE114" s="22"/>
      <c r="BF114" s="22"/>
      <c r="BG114" s="22"/>
      <c r="BH114" s="22"/>
      <c r="BI114" s="22"/>
      <c r="BJ114" s="22"/>
      <c r="BK114" s="22"/>
      <c r="BL114" s="22"/>
      <c r="BM114" s="22"/>
      <c r="BN114" s="22"/>
      <c r="BO114" s="22"/>
      <c r="BP114" s="22"/>
      <c r="BQ114" s="22"/>
      <c r="BR114" s="22"/>
    </row>
    <row r="115" spans="1:70" x14ac:dyDescent="0.3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2"/>
      <c r="BH115" s="22"/>
      <c r="BI115" s="22"/>
      <c r="BJ115" s="22"/>
      <c r="BK115" s="22"/>
      <c r="BL115" s="22"/>
      <c r="BM115" s="22"/>
      <c r="BN115" s="22"/>
      <c r="BO115" s="22"/>
      <c r="BP115" s="22"/>
      <c r="BQ115" s="22"/>
      <c r="BR115" s="22"/>
    </row>
    <row r="116" spans="1:70" x14ac:dyDescent="0.3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22"/>
      <c r="BB116" s="22"/>
      <c r="BC116" s="22"/>
      <c r="BD116" s="22"/>
      <c r="BE116" s="22"/>
      <c r="BF116" s="22"/>
      <c r="BG116" s="22"/>
      <c r="BH116" s="22"/>
      <c r="BI116" s="22"/>
      <c r="BJ116" s="22"/>
      <c r="BK116" s="22"/>
      <c r="BL116" s="22"/>
      <c r="BM116" s="22"/>
      <c r="BN116" s="22"/>
      <c r="BO116" s="22"/>
      <c r="BP116" s="22"/>
      <c r="BQ116" s="22"/>
      <c r="BR116" s="22"/>
    </row>
    <row r="117" spans="1:70" x14ac:dyDescent="0.3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2"/>
      <c r="BH117" s="22"/>
      <c r="BI117" s="22"/>
      <c r="BJ117" s="22"/>
      <c r="BK117" s="22"/>
      <c r="BL117" s="22"/>
      <c r="BM117" s="22"/>
      <c r="BN117" s="22"/>
      <c r="BO117" s="22"/>
      <c r="BP117" s="22"/>
      <c r="BQ117" s="22"/>
      <c r="BR117" s="22"/>
    </row>
    <row r="118" spans="1:70" x14ac:dyDescent="0.3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</row>
    <row r="119" spans="1:70" x14ac:dyDescent="0.3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</row>
    <row r="120" spans="1:70" x14ac:dyDescent="0.3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22"/>
      <c r="BB120" s="22"/>
      <c r="BC120" s="22"/>
      <c r="BD120" s="22"/>
      <c r="BE120" s="22"/>
      <c r="BF120" s="22"/>
      <c r="BG120" s="22"/>
      <c r="BH120" s="22"/>
      <c r="BI120" s="22"/>
      <c r="BJ120" s="22"/>
      <c r="BK120" s="22"/>
      <c r="BL120" s="22"/>
      <c r="BM120" s="22"/>
      <c r="BN120" s="22"/>
      <c r="BO120" s="22"/>
      <c r="BP120" s="22"/>
      <c r="BQ120" s="22"/>
      <c r="BR120" s="22"/>
    </row>
    <row r="121" spans="1:70" x14ac:dyDescent="0.3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2"/>
      <c r="BH121" s="22"/>
      <c r="BI121" s="22"/>
      <c r="BJ121" s="22"/>
      <c r="BK121" s="22"/>
      <c r="BL121" s="22"/>
      <c r="BM121" s="22"/>
      <c r="BN121" s="22"/>
      <c r="BO121" s="22"/>
      <c r="BP121" s="22"/>
      <c r="BQ121" s="22"/>
      <c r="BR121" s="22"/>
    </row>
    <row r="122" spans="1:70" x14ac:dyDescent="0.3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22"/>
      <c r="BB122" s="22"/>
      <c r="BC122" s="22"/>
      <c r="BD122" s="22"/>
      <c r="BE122" s="22"/>
      <c r="BF122" s="22"/>
      <c r="BG122" s="22"/>
      <c r="BH122" s="22"/>
      <c r="BI122" s="22"/>
      <c r="BJ122" s="22"/>
      <c r="BK122" s="22"/>
      <c r="BL122" s="22"/>
      <c r="BM122" s="22"/>
      <c r="BN122" s="22"/>
      <c r="BO122" s="22"/>
      <c r="BP122" s="22"/>
      <c r="BQ122" s="22"/>
      <c r="BR122" s="22"/>
    </row>
    <row r="123" spans="1:70" x14ac:dyDescent="0.3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2"/>
      <c r="BH123" s="22"/>
      <c r="BI123" s="22"/>
      <c r="BJ123" s="22"/>
      <c r="BK123" s="22"/>
      <c r="BL123" s="22"/>
      <c r="BM123" s="22"/>
      <c r="BN123" s="22"/>
      <c r="BO123" s="22"/>
      <c r="BP123" s="22"/>
      <c r="BQ123" s="22"/>
      <c r="BR123" s="22"/>
    </row>
    <row r="124" spans="1:70" x14ac:dyDescent="0.3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22"/>
      <c r="BB124" s="22"/>
      <c r="BC124" s="22"/>
      <c r="BD124" s="22"/>
      <c r="BE124" s="22"/>
      <c r="BF124" s="22"/>
      <c r="BG124" s="22"/>
      <c r="BH124" s="22"/>
      <c r="BI124" s="22"/>
      <c r="BJ124" s="22"/>
      <c r="BK124" s="22"/>
      <c r="BL124" s="22"/>
      <c r="BM124" s="22"/>
      <c r="BN124" s="22"/>
      <c r="BO124" s="22"/>
      <c r="BP124" s="22"/>
      <c r="BQ124" s="22"/>
      <c r="BR124" s="22"/>
    </row>
    <row r="125" spans="1:70" x14ac:dyDescent="0.3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2"/>
      <c r="BH125" s="22"/>
      <c r="BI125" s="22"/>
      <c r="BJ125" s="22"/>
      <c r="BK125" s="22"/>
      <c r="BL125" s="22"/>
      <c r="BM125" s="22"/>
      <c r="BN125" s="22"/>
      <c r="BO125" s="22"/>
      <c r="BP125" s="22"/>
      <c r="BQ125" s="22"/>
      <c r="BR125" s="22"/>
    </row>
    <row r="126" spans="1:70" x14ac:dyDescent="0.3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22"/>
      <c r="BB126" s="22"/>
      <c r="BC126" s="22"/>
      <c r="BD126" s="22"/>
      <c r="BE126" s="22"/>
      <c r="BF126" s="22"/>
      <c r="BG126" s="22"/>
      <c r="BH126" s="22"/>
      <c r="BI126" s="22"/>
      <c r="BJ126" s="22"/>
      <c r="BK126" s="22"/>
      <c r="BL126" s="22"/>
      <c r="BM126" s="22"/>
      <c r="BN126" s="22"/>
      <c r="BO126" s="22"/>
      <c r="BP126" s="22"/>
      <c r="BQ126" s="22"/>
      <c r="BR126" s="22"/>
    </row>
    <row r="127" spans="1:70" x14ac:dyDescent="0.3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2"/>
      <c r="BH127" s="22"/>
      <c r="BI127" s="22"/>
      <c r="BJ127" s="22"/>
      <c r="BK127" s="22"/>
      <c r="BL127" s="22"/>
      <c r="BM127" s="22"/>
      <c r="BN127" s="22"/>
      <c r="BO127" s="22"/>
      <c r="BP127" s="22"/>
      <c r="BQ127" s="22"/>
      <c r="BR127" s="22"/>
    </row>
    <row r="128" spans="1:70" x14ac:dyDescent="0.3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22"/>
      <c r="BB128" s="22"/>
      <c r="BC128" s="22"/>
      <c r="BD128" s="22"/>
      <c r="BE128" s="22"/>
      <c r="BF128" s="22"/>
      <c r="BG128" s="22"/>
      <c r="BH128" s="22"/>
      <c r="BI128" s="22"/>
      <c r="BJ128" s="22"/>
      <c r="BK128" s="22"/>
      <c r="BL128" s="22"/>
      <c r="BM128" s="22"/>
      <c r="BN128" s="22"/>
      <c r="BO128" s="22"/>
      <c r="BP128" s="22"/>
      <c r="BQ128" s="22"/>
      <c r="BR128" s="22"/>
    </row>
    <row r="129" spans="1:70" x14ac:dyDescent="0.3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2"/>
      <c r="BH129" s="22"/>
      <c r="BI129" s="22"/>
      <c r="BJ129" s="22"/>
      <c r="BK129" s="22"/>
      <c r="BL129" s="22"/>
      <c r="BM129" s="22"/>
      <c r="BN129" s="22"/>
      <c r="BO129" s="22"/>
      <c r="BP129" s="22"/>
      <c r="BQ129" s="22"/>
      <c r="BR129" s="22"/>
    </row>
    <row r="130" spans="1:70" x14ac:dyDescent="0.3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</row>
    <row r="131" spans="1:70" x14ac:dyDescent="0.3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</row>
    <row r="132" spans="1:70" x14ac:dyDescent="0.3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22"/>
      <c r="BB132" s="22"/>
      <c r="BC132" s="22"/>
      <c r="BD132" s="22"/>
      <c r="BE132" s="22"/>
      <c r="BF132" s="22"/>
      <c r="BG132" s="22"/>
      <c r="BH132" s="22"/>
      <c r="BI132" s="22"/>
      <c r="BJ132" s="22"/>
      <c r="BK132" s="22"/>
      <c r="BL132" s="22"/>
      <c r="BM132" s="22"/>
      <c r="BN132" s="22"/>
      <c r="BO132" s="22"/>
      <c r="BP132" s="22"/>
      <c r="BQ132" s="22"/>
      <c r="BR132" s="22"/>
    </row>
    <row r="133" spans="1:70" x14ac:dyDescent="0.3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2"/>
      <c r="BH133" s="22"/>
      <c r="BI133" s="22"/>
      <c r="BJ133" s="22"/>
      <c r="BK133" s="22"/>
      <c r="BL133" s="22"/>
      <c r="BM133" s="22"/>
      <c r="BN133" s="22"/>
      <c r="BO133" s="22"/>
      <c r="BP133" s="22"/>
      <c r="BQ133" s="22"/>
      <c r="BR133" s="22"/>
    </row>
    <row r="134" spans="1:70" x14ac:dyDescent="0.3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22"/>
      <c r="BB134" s="22"/>
      <c r="BC134" s="22"/>
      <c r="BD134" s="22"/>
      <c r="BE134" s="22"/>
      <c r="BF134" s="22"/>
      <c r="BG134" s="22"/>
      <c r="BH134" s="22"/>
      <c r="BI134" s="22"/>
      <c r="BJ134" s="22"/>
      <c r="BK134" s="22"/>
      <c r="BL134" s="22"/>
      <c r="BM134" s="22"/>
      <c r="BN134" s="22"/>
      <c r="BO134" s="22"/>
      <c r="BP134" s="22"/>
      <c r="BQ134" s="22"/>
      <c r="BR134" s="22"/>
    </row>
    <row r="135" spans="1:70" x14ac:dyDescent="0.3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2"/>
      <c r="BH135" s="22"/>
      <c r="BI135" s="22"/>
      <c r="BJ135" s="22"/>
      <c r="BK135" s="22"/>
      <c r="BL135" s="22"/>
      <c r="BM135" s="22"/>
      <c r="BN135" s="22"/>
      <c r="BO135" s="22"/>
      <c r="BP135" s="22"/>
      <c r="BQ135" s="22"/>
      <c r="BR135" s="22"/>
    </row>
    <row r="136" spans="1:70" x14ac:dyDescent="0.3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22"/>
      <c r="BB136" s="22"/>
      <c r="BC136" s="22"/>
      <c r="BD136" s="22"/>
      <c r="BE136" s="22"/>
      <c r="BF136" s="22"/>
      <c r="BG136" s="22"/>
      <c r="BH136" s="22"/>
      <c r="BI136" s="22"/>
      <c r="BJ136" s="22"/>
      <c r="BK136" s="22"/>
      <c r="BL136" s="22"/>
      <c r="BM136" s="22"/>
      <c r="BN136" s="22"/>
      <c r="BO136" s="22"/>
      <c r="BP136" s="22"/>
      <c r="BQ136" s="22"/>
      <c r="BR136" s="22"/>
    </row>
    <row r="137" spans="1:70" x14ac:dyDescent="0.3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2"/>
      <c r="BH137" s="22"/>
      <c r="BI137" s="22"/>
      <c r="BJ137" s="22"/>
      <c r="BK137" s="22"/>
      <c r="BL137" s="22"/>
      <c r="BM137" s="22"/>
      <c r="BN137" s="22"/>
      <c r="BO137" s="22"/>
      <c r="BP137" s="22"/>
      <c r="BQ137" s="22"/>
      <c r="BR137" s="22"/>
    </row>
    <row r="138" spans="1:70" x14ac:dyDescent="0.3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22"/>
      <c r="BB138" s="22"/>
      <c r="BC138" s="22"/>
      <c r="BD138" s="22"/>
      <c r="BE138" s="22"/>
      <c r="BF138" s="22"/>
      <c r="BG138" s="22"/>
      <c r="BH138" s="22"/>
      <c r="BI138" s="22"/>
      <c r="BJ138" s="22"/>
      <c r="BK138" s="22"/>
      <c r="BL138" s="22"/>
      <c r="BM138" s="22"/>
      <c r="BN138" s="22"/>
      <c r="BO138" s="22"/>
      <c r="BP138" s="22"/>
      <c r="BQ138" s="22"/>
      <c r="BR138" s="22"/>
    </row>
    <row r="139" spans="1:70" x14ac:dyDescent="0.3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2"/>
      <c r="BH139" s="22"/>
      <c r="BI139" s="22"/>
      <c r="BJ139" s="22"/>
      <c r="BK139" s="22"/>
      <c r="BL139" s="22"/>
      <c r="BM139" s="22"/>
      <c r="BN139" s="22"/>
      <c r="BO139" s="22"/>
      <c r="BP139" s="22"/>
      <c r="BQ139" s="22"/>
      <c r="BR139" s="22"/>
    </row>
    <row r="140" spans="1:70" x14ac:dyDescent="0.3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22"/>
      <c r="BB140" s="22"/>
      <c r="BC140" s="22"/>
      <c r="BD140" s="22"/>
      <c r="BE140" s="22"/>
      <c r="BF140" s="22"/>
      <c r="BG140" s="22"/>
      <c r="BH140" s="22"/>
      <c r="BI140" s="22"/>
      <c r="BJ140" s="22"/>
      <c r="BK140" s="22"/>
      <c r="BL140" s="22"/>
      <c r="BM140" s="22"/>
      <c r="BN140" s="22"/>
      <c r="BO140" s="22"/>
      <c r="BP140" s="22"/>
      <c r="BQ140" s="22"/>
      <c r="BR140" s="22"/>
    </row>
    <row r="141" spans="1:70" x14ac:dyDescent="0.3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2"/>
      <c r="BH141" s="22"/>
      <c r="BI141" s="22"/>
      <c r="BJ141" s="22"/>
      <c r="BK141" s="22"/>
      <c r="BL141" s="22"/>
      <c r="BM141" s="22"/>
      <c r="BN141" s="22"/>
      <c r="BO141" s="22"/>
      <c r="BP141" s="22"/>
      <c r="BQ141" s="22"/>
      <c r="BR141" s="22"/>
    </row>
    <row r="142" spans="1:70" x14ac:dyDescent="0.3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22"/>
      <c r="BB142" s="22"/>
      <c r="BC142" s="22"/>
      <c r="BD142" s="22"/>
      <c r="BE142" s="22"/>
      <c r="BF142" s="22"/>
      <c r="BG142" s="22"/>
      <c r="BH142" s="22"/>
      <c r="BI142" s="22"/>
      <c r="BJ142" s="22"/>
      <c r="BK142" s="22"/>
      <c r="BL142" s="22"/>
      <c r="BM142" s="22"/>
      <c r="BN142" s="22"/>
      <c r="BO142" s="22"/>
      <c r="BP142" s="22"/>
      <c r="BQ142" s="22"/>
      <c r="BR142" s="22"/>
    </row>
    <row r="143" spans="1:70" x14ac:dyDescent="0.3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2"/>
      <c r="BH143" s="22"/>
      <c r="BI143" s="22"/>
      <c r="BJ143" s="22"/>
      <c r="BK143" s="22"/>
      <c r="BL143" s="22"/>
      <c r="BM143" s="22"/>
      <c r="BN143" s="22"/>
      <c r="BO143" s="22"/>
      <c r="BP143" s="22"/>
      <c r="BQ143" s="22"/>
      <c r="BR143" s="22"/>
    </row>
    <row r="144" spans="1:70" x14ac:dyDescent="0.3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22"/>
      <c r="BB144" s="22"/>
      <c r="BC144" s="22"/>
      <c r="BD144" s="22"/>
      <c r="BE144" s="22"/>
      <c r="BF144" s="22"/>
      <c r="BG144" s="22"/>
      <c r="BH144" s="22"/>
      <c r="BI144" s="22"/>
      <c r="BJ144" s="22"/>
      <c r="BK144" s="22"/>
      <c r="BL144" s="22"/>
      <c r="BM144" s="22"/>
      <c r="BN144" s="22"/>
      <c r="BO144" s="22"/>
      <c r="BP144" s="22"/>
      <c r="BQ144" s="22"/>
      <c r="BR144" s="22"/>
    </row>
    <row r="145" spans="1:70" x14ac:dyDescent="0.3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2"/>
      <c r="BH145" s="22"/>
      <c r="BI145" s="22"/>
      <c r="BJ145" s="22"/>
      <c r="BK145" s="22"/>
      <c r="BL145" s="22"/>
      <c r="BM145" s="22"/>
      <c r="BN145" s="22"/>
      <c r="BO145" s="22"/>
      <c r="BP145" s="22"/>
      <c r="BQ145" s="22"/>
      <c r="BR145" s="22"/>
    </row>
    <row r="146" spans="1:70" x14ac:dyDescent="0.3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22"/>
      <c r="BB146" s="22"/>
      <c r="BC146" s="22"/>
      <c r="BD146" s="22"/>
      <c r="BE146" s="22"/>
      <c r="BF146" s="22"/>
      <c r="BG146" s="22"/>
      <c r="BH146" s="22"/>
      <c r="BI146" s="22"/>
      <c r="BJ146" s="22"/>
      <c r="BK146" s="22"/>
      <c r="BL146" s="22"/>
      <c r="BM146" s="22"/>
      <c r="BN146" s="22"/>
      <c r="BO146" s="22"/>
      <c r="BP146" s="22"/>
      <c r="BQ146" s="22"/>
      <c r="BR146" s="22"/>
    </row>
    <row r="147" spans="1:70" x14ac:dyDescent="0.3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2"/>
      <c r="BH147" s="22"/>
      <c r="BI147" s="22"/>
      <c r="BJ147" s="22"/>
      <c r="BK147" s="22"/>
      <c r="BL147" s="22"/>
      <c r="BM147" s="22"/>
      <c r="BN147" s="22"/>
      <c r="BO147" s="22"/>
      <c r="BP147" s="22"/>
      <c r="BQ147" s="22"/>
      <c r="BR147" s="22"/>
    </row>
    <row r="148" spans="1:70" x14ac:dyDescent="0.3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22"/>
      <c r="BB148" s="22"/>
      <c r="BC148" s="22"/>
      <c r="BD148" s="22"/>
      <c r="BE148" s="22"/>
      <c r="BF148" s="22"/>
      <c r="BG148" s="22"/>
      <c r="BH148" s="22"/>
      <c r="BI148" s="22"/>
      <c r="BJ148" s="22"/>
      <c r="BK148" s="22"/>
      <c r="BL148" s="22"/>
      <c r="BM148" s="22"/>
      <c r="BN148" s="22"/>
      <c r="BO148" s="22"/>
      <c r="BP148" s="22"/>
      <c r="BQ148" s="22"/>
      <c r="BR148" s="22"/>
    </row>
    <row r="149" spans="1:70" x14ac:dyDescent="0.3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2"/>
      <c r="BH149" s="22"/>
      <c r="BI149" s="22"/>
      <c r="BJ149" s="22"/>
      <c r="BK149" s="22"/>
      <c r="BL149" s="22"/>
      <c r="BM149" s="22"/>
      <c r="BN149" s="22"/>
      <c r="BO149" s="22"/>
      <c r="BP149" s="22"/>
      <c r="BQ149" s="22"/>
      <c r="BR149" s="22"/>
    </row>
    <row r="150" spans="1:70" x14ac:dyDescent="0.3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22"/>
      <c r="BB150" s="22"/>
      <c r="BC150" s="22"/>
      <c r="BD150" s="22"/>
      <c r="BE150" s="22"/>
      <c r="BF150" s="22"/>
      <c r="BG150" s="22"/>
      <c r="BH150" s="22"/>
      <c r="BI150" s="22"/>
      <c r="BJ150" s="22"/>
      <c r="BK150" s="22"/>
      <c r="BL150" s="22"/>
      <c r="BM150" s="22"/>
      <c r="BN150" s="22"/>
      <c r="BO150" s="22"/>
      <c r="BP150" s="22"/>
      <c r="BQ150" s="22"/>
      <c r="BR150" s="22"/>
    </row>
    <row r="151" spans="1:70" x14ac:dyDescent="0.3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2"/>
      <c r="BH151" s="22"/>
      <c r="BI151" s="22"/>
      <c r="BJ151" s="22"/>
      <c r="BK151" s="22"/>
      <c r="BL151" s="22"/>
      <c r="BM151" s="22"/>
      <c r="BN151" s="22"/>
      <c r="BO151" s="22"/>
      <c r="BP151" s="22"/>
      <c r="BQ151" s="22"/>
      <c r="BR151" s="22"/>
    </row>
    <row r="152" spans="1:70" x14ac:dyDescent="0.3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22"/>
      <c r="BB152" s="22"/>
      <c r="BC152" s="22"/>
      <c r="BD152" s="22"/>
      <c r="BE152" s="22"/>
      <c r="BF152" s="22"/>
      <c r="BG152" s="22"/>
      <c r="BH152" s="22"/>
      <c r="BI152" s="22"/>
      <c r="BJ152" s="22"/>
      <c r="BK152" s="22"/>
      <c r="BL152" s="22"/>
      <c r="BM152" s="22"/>
      <c r="BN152" s="22"/>
      <c r="BO152" s="22"/>
      <c r="BP152" s="22"/>
      <c r="BQ152" s="22"/>
      <c r="BR152" s="22"/>
    </row>
    <row r="153" spans="1:70" x14ac:dyDescent="0.3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2"/>
      <c r="BH153" s="22"/>
      <c r="BI153" s="22"/>
      <c r="BJ153" s="22"/>
      <c r="BK153" s="22"/>
      <c r="BL153" s="22"/>
      <c r="BM153" s="22"/>
      <c r="BN153" s="22"/>
      <c r="BO153" s="22"/>
      <c r="BP153" s="22"/>
      <c r="BQ153" s="22"/>
      <c r="BR153" s="22"/>
    </row>
    <row r="154" spans="1:70" x14ac:dyDescent="0.3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22"/>
      <c r="BB154" s="22"/>
      <c r="BC154" s="22"/>
      <c r="BD154" s="22"/>
      <c r="BE154" s="22"/>
      <c r="BF154" s="22"/>
      <c r="BG154" s="22"/>
      <c r="BH154" s="22"/>
      <c r="BI154" s="22"/>
      <c r="BJ154" s="22"/>
      <c r="BK154" s="22"/>
      <c r="BL154" s="22"/>
      <c r="BM154" s="22"/>
      <c r="BN154" s="22"/>
      <c r="BO154" s="22"/>
      <c r="BP154" s="22"/>
      <c r="BQ154" s="22"/>
      <c r="BR154" s="22"/>
    </row>
    <row r="155" spans="1:70" x14ac:dyDescent="0.3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2"/>
      <c r="BH155" s="22"/>
      <c r="BI155" s="22"/>
      <c r="BJ155" s="22"/>
      <c r="BK155" s="22"/>
      <c r="BL155" s="22"/>
      <c r="BM155" s="22"/>
      <c r="BN155" s="22"/>
      <c r="BO155" s="22"/>
      <c r="BP155" s="22"/>
      <c r="BQ155" s="22"/>
      <c r="BR155" s="22"/>
    </row>
    <row r="156" spans="1:70" x14ac:dyDescent="0.3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22"/>
      <c r="BB156" s="22"/>
      <c r="BC156" s="22"/>
      <c r="BD156" s="22"/>
      <c r="BE156" s="22"/>
      <c r="BF156" s="22"/>
      <c r="BG156" s="22"/>
      <c r="BH156" s="22"/>
      <c r="BI156" s="22"/>
      <c r="BJ156" s="22"/>
      <c r="BK156" s="22"/>
      <c r="BL156" s="22"/>
      <c r="BM156" s="22"/>
      <c r="BN156" s="22"/>
      <c r="BO156" s="22"/>
      <c r="BP156" s="22"/>
      <c r="BQ156" s="22"/>
      <c r="BR156" s="22"/>
    </row>
    <row r="157" spans="1:70" x14ac:dyDescent="0.3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2"/>
      <c r="BH157" s="22"/>
      <c r="BI157" s="22"/>
      <c r="BJ157" s="22"/>
      <c r="BK157" s="22"/>
      <c r="BL157" s="22"/>
      <c r="BM157" s="22"/>
      <c r="BN157" s="22"/>
      <c r="BO157" s="22"/>
      <c r="BP157" s="22"/>
      <c r="BQ157" s="22"/>
      <c r="BR157" s="22"/>
    </row>
    <row r="158" spans="1:70" x14ac:dyDescent="0.3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22"/>
      <c r="BA158" s="22"/>
      <c r="BB158" s="22"/>
      <c r="BC158" s="22"/>
      <c r="BD158" s="22"/>
      <c r="BE158" s="22"/>
      <c r="BF158" s="22"/>
      <c r="BG158" s="22"/>
      <c r="BH158" s="22"/>
      <c r="BI158" s="22"/>
      <c r="BJ158" s="22"/>
      <c r="BK158" s="22"/>
      <c r="BL158" s="22"/>
      <c r="BM158" s="22"/>
      <c r="BN158" s="22"/>
      <c r="BO158" s="22"/>
      <c r="BP158" s="22"/>
      <c r="BQ158" s="22"/>
      <c r="BR158" s="22"/>
    </row>
    <row r="159" spans="1:70" x14ac:dyDescent="0.3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2"/>
      <c r="BH159" s="22"/>
      <c r="BI159" s="22"/>
      <c r="BJ159" s="22"/>
      <c r="BK159" s="22"/>
      <c r="BL159" s="22"/>
      <c r="BM159" s="22"/>
      <c r="BN159" s="22"/>
      <c r="BO159" s="22"/>
      <c r="BP159" s="22"/>
      <c r="BQ159" s="22"/>
      <c r="BR159" s="22"/>
    </row>
    <row r="160" spans="1:70" x14ac:dyDescent="0.3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22"/>
      <c r="BA160" s="22"/>
      <c r="BB160" s="22"/>
      <c r="BC160" s="22"/>
      <c r="BD160" s="22"/>
      <c r="BE160" s="22"/>
      <c r="BF160" s="22"/>
      <c r="BG160" s="22"/>
      <c r="BH160" s="22"/>
      <c r="BI160" s="22"/>
      <c r="BJ160" s="22"/>
      <c r="BK160" s="22"/>
      <c r="BL160" s="22"/>
      <c r="BM160" s="22"/>
      <c r="BN160" s="22"/>
      <c r="BO160" s="22"/>
      <c r="BP160" s="22"/>
      <c r="BQ160" s="22"/>
      <c r="BR160" s="22"/>
    </row>
    <row r="161" spans="1:70" x14ac:dyDescent="0.3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2"/>
      <c r="BH161" s="22"/>
      <c r="BI161" s="22"/>
      <c r="BJ161" s="22"/>
      <c r="BK161" s="22"/>
      <c r="BL161" s="22"/>
      <c r="BM161" s="22"/>
      <c r="BN161" s="22"/>
      <c r="BO161" s="22"/>
      <c r="BP161" s="22"/>
      <c r="BQ161" s="22"/>
      <c r="BR161" s="22"/>
    </row>
    <row r="162" spans="1:70" x14ac:dyDescent="0.3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22"/>
      <c r="BA162" s="22"/>
      <c r="BB162" s="22"/>
      <c r="BC162" s="22"/>
      <c r="BD162" s="22"/>
      <c r="BE162" s="22"/>
      <c r="BF162" s="22"/>
      <c r="BG162" s="22"/>
      <c r="BH162" s="22"/>
      <c r="BI162" s="22"/>
      <c r="BJ162" s="22"/>
      <c r="BK162" s="22"/>
      <c r="BL162" s="22"/>
      <c r="BM162" s="22"/>
      <c r="BN162" s="22"/>
      <c r="BO162" s="22"/>
      <c r="BP162" s="22"/>
      <c r="BQ162" s="22"/>
      <c r="BR162" s="22"/>
    </row>
    <row r="163" spans="1:70" x14ac:dyDescent="0.3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2"/>
      <c r="BH163" s="22"/>
      <c r="BI163" s="22"/>
      <c r="BJ163" s="22"/>
      <c r="BK163" s="22"/>
      <c r="BL163" s="22"/>
      <c r="BM163" s="22"/>
      <c r="BN163" s="22"/>
      <c r="BO163" s="22"/>
      <c r="BP163" s="22"/>
      <c r="BQ163" s="22"/>
      <c r="BR163" s="22"/>
    </row>
    <row r="164" spans="1:70" x14ac:dyDescent="0.3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22"/>
      <c r="BA164" s="22"/>
      <c r="BB164" s="22"/>
      <c r="BC164" s="22"/>
      <c r="BD164" s="22"/>
      <c r="BE164" s="22"/>
      <c r="BF164" s="22"/>
      <c r="BG164" s="22"/>
      <c r="BH164" s="22"/>
      <c r="BI164" s="22"/>
      <c r="BJ164" s="22"/>
      <c r="BK164" s="22"/>
      <c r="BL164" s="22"/>
      <c r="BM164" s="22"/>
      <c r="BN164" s="22"/>
      <c r="BO164" s="22"/>
      <c r="BP164" s="22"/>
      <c r="BQ164" s="22"/>
      <c r="BR164" s="22"/>
    </row>
    <row r="165" spans="1:70" x14ac:dyDescent="0.3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2"/>
      <c r="BH165" s="22"/>
      <c r="BI165" s="22"/>
      <c r="BJ165" s="22"/>
      <c r="BK165" s="22"/>
      <c r="BL165" s="22"/>
      <c r="BM165" s="22"/>
      <c r="BN165" s="22"/>
      <c r="BO165" s="22"/>
      <c r="BP165" s="22"/>
      <c r="BQ165" s="22"/>
      <c r="BR165" s="22"/>
    </row>
    <row r="166" spans="1:70" x14ac:dyDescent="0.3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22"/>
      <c r="BA166" s="22"/>
      <c r="BB166" s="22"/>
      <c r="BC166" s="22"/>
      <c r="BD166" s="22"/>
      <c r="BE166" s="22"/>
      <c r="BF166" s="22"/>
      <c r="BG166" s="22"/>
      <c r="BH166" s="22"/>
      <c r="BI166" s="22"/>
      <c r="BJ166" s="22"/>
      <c r="BK166" s="22"/>
      <c r="BL166" s="22"/>
      <c r="BM166" s="22"/>
      <c r="BN166" s="22"/>
      <c r="BO166" s="22"/>
      <c r="BP166" s="22"/>
      <c r="BQ166" s="22"/>
      <c r="BR166" s="22"/>
    </row>
    <row r="167" spans="1:70" x14ac:dyDescent="0.3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2"/>
      <c r="BH167" s="22"/>
      <c r="BI167" s="22"/>
      <c r="BJ167" s="22"/>
      <c r="BK167" s="22"/>
      <c r="BL167" s="22"/>
      <c r="BM167" s="22"/>
      <c r="BN167" s="22"/>
      <c r="BO167" s="22"/>
      <c r="BP167" s="22"/>
      <c r="BQ167" s="22"/>
      <c r="BR167" s="22"/>
    </row>
    <row r="168" spans="1:70" x14ac:dyDescent="0.3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22"/>
      <c r="BA168" s="22"/>
      <c r="BB168" s="22"/>
      <c r="BC168" s="22"/>
      <c r="BD168" s="22"/>
      <c r="BE168" s="22"/>
      <c r="BF168" s="22"/>
      <c r="BG168" s="22"/>
      <c r="BH168" s="22"/>
      <c r="BI168" s="22"/>
      <c r="BJ168" s="22"/>
      <c r="BK168" s="22"/>
      <c r="BL168" s="22"/>
      <c r="BM168" s="22"/>
      <c r="BN168" s="22"/>
      <c r="BO168" s="22"/>
      <c r="BP168" s="22"/>
      <c r="BQ168" s="22"/>
      <c r="BR168" s="22"/>
    </row>
    <row r="169" spans="1:70" x14ac:dyDescent="0.3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2"/>
      <c r="BH169" s="22"/>
      <c r="BI169" s="22"/>
      <c r="BJ169" s="22"/>
      <c r="BK169" s="22"/>
      <c r="BL169" s="22"/>
      <c r="BM169" s="22"/>
      <c r="BN169" s="22"/>
      <c r="BO169" s="22"/>
      <c r="BP169" s="22"/>
      <c r="BQ169" s="22"/>
      <c r="BR169" s="22"/>
    </row>
    <row r="170" spans="1:70" x14ac:dyDescent="0.3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22"/>
      <c r="BA170" s="22"/>
      <c r="BB170" s="22"/>
      <c r="BC170" s="22"/>
      <c r="BD170" s="22"/>
      <c r="BE170" s="22"/>
      <c r="BF170" s="22"/>
      <c r="BG170" s="22"/>
      <c r="BH170" s="22"/>
      <c r="BI170" s="22"/>
      <c r="BJ170" s="22"/>
      <c r="BK170" s="22"/>
      <c r="BL170" s="22"/>
      <c r="BM170" s="22"/>
      <c r="BN170" s="22"/>
      <c r="BO170" s="22"/>
      <c r="BP170" s="22"/>
      <c r="BQ170" s="22"/>
      <c r="BR170" s="22"/>
    </row>
    <row r="171" spans="1:70" x14ac:dyDescent="0.3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2"/>
      <c r="BH171" s="22"/>
      <c r="BI171" s="22"/>
      <c r="BJ171" s="22"/>
      <c r="BK171" s="22"/>
      <c r="BL171" s="22"/>
      <c r="BM171" s="22"/>
      <c r="BN171" s="22"/>
      <c r="BO171" s="22"/>
      <c r="BP171" s="22"/>
      <c r="BQ171" s="22"/>
      <c r="BR171" s="22"/>
    </row>
    <row r="172" spans="1:70" x14ac:dyDescent="0.3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22"/>
      <c r="BA172" s="22"/>
      <c r="BB172" s="22"/>
      <c r="BC172" s="22"/>
      <c r="BD172" s="22"/>
      <c r="BE172" s="22"/>
      <c r="BF172" s="22"/>
      <c r="BG172" s="22"/>
      <c r="BH172" s="22"/>
      <c r="BI172" s="22"/>
      <c r="BJ172" s="22"/>
      <c r="BK172" s="22"/>
      <c r="BL172" s="22"/>
      <c r="BM172" s="22"/>
      <c r="BN172" s="22"/>
      <c r="BO172" s="22"/>
      <c r="BP172" s="22"/>
      <c r="BQ172" s="22"/>
      <c r="BR172" s="22"/>
    </row>
    <row r="173" spans="1:70" x14ac:dyDescent="0.3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2"/>
      <c r="BH173" s="22"/>
      <c r="BI173" s="22"/>
      <c r="BJ173" s="22"/>
      <c r="BK173" s="22"/>
      <c r="BL173" s="22"/>
      <c r="BM173" s="22"/>
      <c r="BN173" s="22"/>
      <c r="BO173" s="22"/>
      <c r="BP173" s="22"/>
      <c r="BQ173" s="22"/>
      <c r="BR173" s="22"/>
    </row>
    <row r="174" spans="1:70" x14ac:dyDescent="0.3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22"/>
      <c r="BA174" s="22"/>
      <c r="BB174" s="22"/>
      <c r="BC174" s="22"/>
      <c r="BD174" s="22"/>
      <c r="BE174" s="22"/>
      <c r="BF174" s="22"/>
      <c r="BG174" s="22"/>
      <c r="BH174" s="22"/>
      <c r="BI174" s="22"/>
      <c r="BJ174" s="22"/>
      <c r="BK174" s="22"/>
      <c r="BL174" s="22"/>
      <c r="BM174" s="22"/>
      <c r="BN174" s="22"/>
      <c r="BO174" s="22"/>
      <c r="BP174" s="22"/>
      <c r="BQ174" s="22"/>
      <c r="BR174" s="22"/>
    </row>
    <row r="175" spans="1:70" x14ac:dyDescent="0.3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2"/>
      <c r="BH175" s="22"/>
      <c r="BI175" s="22"/>
      <c r="BJ175" s="22"/>
      <c r="BK175" s="22"/>
      <c r="BL175" s="22"/>
      <c r="BM175" s="22"/>
      <c r="BN175" s="22"/>
      <c r="BO175" s="22"/>
      <c r="BP175" s="22"/>
      <c r="BQ175" s="22"/>
      <c r="BR175" s="22"/>
    </row>
    <row r="176" spans="1:70" x14ac:dyDescent="0.3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22"/>
      <c r="BA176" s="22"/>
      <c r="BB176" s="22"/>
      <c r="BC176" s="22"/>
      <c r="BD176" s="22"/>
      <c r="BE176" s="22"/>
      <c r="BF176" s="22"/>
      <c r="BG176" s="22"/>
      <c r="BH176" s="22"/>
      <c r="BI176" s="22"/>
      <c r="BJ176" s="22"/>
      <c r="BK176" s="22"/>
      <c r="BL176" s="22"/>
      <c r="BM176" s="22"/>
      <c r="BN176" s="22"/>
      <c r="BO176" s="22"/>
      <c r="BP176" s="22"/>
      <c r="BQ176" s="22"/>
      <c r="BR176" s="22"/>
    </row>
    <row r="177" spans="1:70" x14ac:dyDescent="0.3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</row>
    <row r="178" spans="1:70" x14ac:dyDescent="0.3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</row>
    <row r="179" spans="1:70" x14ac:dyDescent="0.3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</row>
    <row r="180" spans="1:70" x14ac:dyDescent="0.3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</row>
    <row r="181" spans="1:70" x14ac:dyDescent="0.3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</row>
    <row r="182" spans="1:70" x14ac:dyDescent="0.3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22"/>
      <c r="BA182" s="22"/>
      <c r="BB182" s="22"/>
      <c r="BC182" s="22"/>
      <c r="BD182" s="22"/>
      <c r="BE182" s="22"/>
      <c r="BF182" s="22"/>
      <c r="BG182" s="22"/>
      <c r="BH182" s="22"/>
      <c r="BI182" s="22"/>
      <c r="BJ182" s="22"/>
      <c r="BK182" s="22"/>
      <c r="BL182" s="22"/>
      <c r="BM182" s="22"/>
      <c r="BN182" s="22"/>
      <c r="BO182" s="22"/>
      <c r="BP182" s="22"/>
      <c r="BQ182" s="22"/>
      <c r="BR182" s="22"/>
    </row>
    <row r="183" spans="1:70" x14ac:dyDescent="0.3">
      <c r="BD183" s="11"/>
      <c r="BE183" s="11"/>
      <c r="BF183" s="11"/>
    </row>
  </sheetData>
  <mergeCells count="9">
    <mergeCell ref="BB2:BM2"/>
    <mergeCell ref="AM1:BM1"/>
    <mergeCell ref="AV2:AW2"/>
    <mergeCell ref="AX2:AY2"/>
    <mergeCell ref="N2:T2"/>
    <mergeCell ref="U2:AA2"/>
    <mergeCell ref="AB2:AL2"/>
    <mergeCell ref="AZ2:BA2"/>
    <mergeCell ref="F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Sheet3</vt:lpstr>
      <vt:lpstr>Sheet4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1804040 - Khandaker Abir Hossen Papon</dc:creator>
  <cp:lastModifiedBy>1804040 - Khandaker Abir Hossen Papon</cp:lastModifiedBy>
  <dcterms:created xsi:type="dcterms:W3CDTF">2023-12-09T14:40:05Z</dcterms:created>
  <dcterms:modified xsi:type="dcterms:W3CDTF">2024-06-29T05:25:24Z</dcterms:modified>
</cp:coreProperties>
</file>